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PUT" sheetId="1" state="visible" r:id="rId1"/>
    <sheet xmlns:r="http://schemas.openxmlformats.org/officeDocument/2006/relationships" name="LM_Semana" sheetId="2" state="visible" r:id="rId2"/>
    <sheet xmlns:r="http://schemas.openxmlformats.org/officeDocument/2006/relationships" name="LM_Sabado" sheetId="3" state="visible" r:id="rId3"/>
    <sheet xmlns:r="http://schemas.openxmlformats.org/officeDocument/2006/relationships" name="LM_Domingo" sheetId="4" state="visible" r:id="rId4"/>
    <sheet xmlns:r="http://schemas.openxmlformats.org/officeDocument/2006/relationships" name="LM_Feriado" sheetId="5" state="visible" r:id="rId5"/>
    <sheet xmlns:r="http://schemas.openxmlformats.org/officeDocument/2006/relationships" name="LC_Semana" sheetId="6" state="visible" r:id="rId6"/>
    <sheet xmlns:r="http://schemas.openxmlformats.org/officeDocument/2006/relationships" name="LC_Sabado" sheetId="7" state="visible" r:id="rId7"/>
    <sheet xmlns:r="http://schemas.openxmlformats.org/officeDocument/2006/relationships" name="LC_Domingo" sheetId="8" state="visible" r:id="rId8"/>
    <sheet xmlns:r="http://schemas.openxmlformats.org/officeDocument/2006/relationships" name="LC_Feriad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color theme="1"/>
      <sz val="11"/>
      <scheme val="minor"/>
    </font>
    <font>
      <name val="Arial"/>
      <b val="1"/>
      <color rgb="FFFFFFFF"/>
      <sz val="13"/>
    </font>
    <font>
      <name val="Arial"/>
      <color rgb="FF6A9AAA"/>
      <sz val="9"/>
    </font>
    <font>
      <name val="Arial"/>
      <b val="1"/>
      <color rgb="FFFFFFFF"/>
      <sz val="9"/>
    </font>
    <font>
      <name val="Arial"/>
      <b val="1"/>
      <color rgb="FFFFFFFF"/>
      <sz val="8"/>
    </font>
    <font>
      <name val="Arial"/>
      <b val="1"/>
      <color rgb="FF007373"/>
      <sz val="9"/>
    </font>
    <font>
      <name val="Arial"/>
      <b val="1"/>
      <color rgb="FF007373"/>
      <sz val="8"/>
    </font>
    <font>
      <name val="Arial"/>
      <color rgb="FF007373"/>
      <sz val="9"/>
    </font>
    <font>
      <name val="Arial"/>
      <color rgb="FF333333"/>
      <sz val="8"/>
    </font>
    <font>
      <name val="Arial"/>
      <i val="1"/>
      <color rgb="FF888888"/>
      <sz val="8"/>
    </font>
    <font>
      <name val="Arial"/>
      <b val="1"/>
      <color rgb="FFB84010"/>
      <sz val="9"/>
    </font>
    <font>
      <name val="Arial"/>
      <b val="1"/>
      <color rgb="FFB84010"/>
      <sz val="8"/>
    </font>
    <font>
      <name val="Arial"/>
      <color rgb="FF2A4455"/>
      <sz val="9"/>
    </font>
    <font/>
    <font>
      <name val="Arial"/>
      <b val="1"/>
      <color rgb="00FFFFFF"/>
      <sz val="13"/>
    </font>
    <font>
      <name val="Arial"/>
      <b val="1"/>
      <color rgb="00b84010"/>
      <sz val="9"/>
    </font>
    <font>
      <name val="Arial"/>
      <b val="1"/>
      <color rgb="00FFFFFF"/>
      <sz val="9"/>
    </font>
    <font>
      <name val="Arial"/>
      <b val="1"/>
      <color rgb="00444444"/>
      <sz val="8"/>
    </font>
    <font>
      <name val="Arial"/>
      <color rgb="00888888"/>
      <sz val="8"/>
    </font>
    <font>
      <name val="Arial"/>
      <b val="1"/>
      <color rgb="001a3544"/>
      <sz val="9"/>
    </font>
  </fonts>
  <fills count="17">
    <fill>
      <patternFill/>
    </fill>
    <fill>
      <patternFill patternType="lightGray"/>
    </fill>
    <fill>
      <patternFill patternType="solid">
        <fgColor rgb="FF0B1F2E"/>
        <bgColor rgb="FF0B1F2E"/>
      </patternFill>
    </fill>
    <fill>
      <patternFill patternType="solid">
        <fgColor rgb="FF009B9B"/>
        <bgColor rgb="FF009B9B"/>
      </patternFill>
    </fill>
    <fill>
      <patternFill patternType="solid">
        <fgColor rgb="FFE6F7F7"/>
        <bgColor rgb="FFE6F7F7"/>
      </patternFill>
    </fill>
    <fill>
      <patternFill patternType="solid">
        <fgColor rgb="FFF5F9F9"/>
        <bgColor rgb="FFF5F9F9"/>
      </patternFill>
    </fill>
    <fill>
      <patternFill patternType="solid">
        <fgColor rgb="FFFFFFFF"/>
        <bgColor rgb="FFFFFFFF"/>
      </patternFill>
    </fill>
    <fill>
      <patternFill patternType="solid">
        <fgColor rgb="FFE05A20"/>
        <bgColor rgb="FFE05A20"/>
      </patternFill>
    </fill>
    <fill>
      <patternFill patternType="solid">
        <fgColor rgb="FFFDE8DE"/>
        <bgColor rgb="FFFDE8DE"/>
      </patternFill>
    </fill>
    <fill>
      <patternFill patternType="solid">
        <fgColor rgb="000b1f2e"/>
      </patternFill>
    </fill>
    <fill>
      <patternFill patternType="solid">
        <fgColor rgb="00fff3e0"/>
      </patternFill>
    </fill>
    <fill>
      <patternFill patternType="solid">
        <fgColor rgb="00009b9b"/>
      </patternFill>
    </fill>
    <fill>
      <patternFill patternType="solid">
        <fgColor rgb="00e6f7f7"/>
      </patternFill>
    </fill>
    <fill>
      <patternFill patternType="solid">
        <fgColor rgb="00FFFFFF"/>
      </patternFill>
    </fill>
    <fill>
      <patternFill patternType="solid">
        <fgColor rgb="00f5f9f9"/>
      </patternFill>
    </fill>
    <fill>
      <patternFill patternType="solid">
        <fgColor rgb="00e05a20"/>
      </patternFill>
    </fill>
    <fill>
      <patternFill patternType="solid">
        <fgColor rgb="00fde8d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 style="thin">
        <color rgb="FFC8D8DC"/>
      </left>
      <right style="thin">
        <color rgb="FFC8D8DC"/>
      </right>
      <top style="thin">
        <color rgb="FFC8D8DC"/>
      </top>
      <bottom style="thin">
        <color rgb="FFC8D8DC"/>
      </bottom>
    </border>
    <border>
      <left/>
      <right/>
      <top/>
      <bottom/>
    </border>
    <border>
      <left style="thin">
        <color rgb="00C8D8DC"/>
      </left>
      <right style="thin">
        <color rgb="00C8D8DC"/>
      </right>
      <top style="thin">
        <color rgb="00C8D8DC"/>
      </top>
      <bottom style="thin">
        <color rgb="00C8D8DC"/>
      </bottom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1" fillId="2" borderId="2" applyAlignment="1" pivotButton="0" quotePrefix="0" xfId="0">
      <alignment horizontal="left" vertical="center"/>
    </xf>
    <xf numFmtId="0" fontId="1" fillId="2" borderId="3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left" vertical="center"/>
    </xf>
    <xf numFmtId="0" fontId="2" fillId="2" borderId="3" applyAlignment="1" pivotButton="0" quotePrefix="0" xfId="0">
      <alignment horizontal="left" vertical="center"/>
    </xf>
    <xf numFmtId="0" fontId="3" fillId="3" borderId="4" applyAlignment="1" pivotButton="0" quotePrefix="0" xfId="0">
      <alignment horizontal="left" vertical="center"/>
    </xf>
    <xf numFmtId="20" fontId="4" fillId="3" borderId="4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5" fillId="4" borderId="4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left" vertical="center"/>
    </xf>
    <xf numFmtId="0" fontId="8" fillId="5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left" vertical="center"/>
    </xf>
    <xf numFmtId="0" fontId="8" fillId="6" borderId="4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7" borderId="4" applyAlignment="1" pivotButton="0" quotePrefix="0" xfId="0">
      <alignment horizontal="left" vertical="center"/>
    </xf>
    <xf numFmtId="0" fontId="4" fillId="7" borderId="4" applyAlignment="1" pivotButton="0" quotePrefix="0" xfId="0">
      <alignment horizontal="center" vertical="center"/>
    </xf>
    <xf numFmtId="0" fontId="10" fillId="8" borderId="4" applyAlignment="1" pivotButton="0" quotePrefix="0" xfId="0">
      <alignment horizontal="left" vertical="center"/>
    </xf>
    <xf numFmtId="20" fontId="11" fillId="8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0" fontId="12" fillId="5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0" borderId="2" pivotButton="0" quotePrefix="0" xfId="0"/>
    <xf numFmtId="0" fontId="13" fillId="0" borderId="3" pivotButton="0" quotePrefix="0" xfId="0"/>
    <xf numFmtId="0" fontId="0" fillId="0" borderId="0" pivotButton="0" quotePrefix="0" xfId="0"/>
    <xf numFmtId="0" fontId="14" fillId="9" borderId="0" applyAlignment="1" pivotButton="0" quotePrefix="0" xfId="0">
      <alignment horizontal="left" vertical="center" indent="1"/>
    </xf>
    <xf numFmtId="0" fontId="15" fillId="10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left" vertical="center" indent="1"/>
    </xf>
    <xf numFmtId="0" fontId="17" fillId="12" borderId="6" applyAlignment="1" pivotButton="0" quotePrefix="0" xfId="0">
      <alignment horizontal="center" vertical="center"/>
    </xf>
    <xf numFmtId="0" fontId="18" fillId="13" borderId="6" applyAlignment="1" pivotButton="0" quotePrefix="0" xfId="0">
      <alignment horizontal="center" vertical="center"/>
    </xf>
    <xf numFmtId="0" fontId="19" fillId="13" borderId="6" applyAlignment="1" pivotButton="0" quotePrefix="0" xfId="0">
      <alignment horizontal="center" vertical="center"/>
    </xf>
    <xf numFmtId="0" fontId="18" fillId="14" borderId="6" applyAlignment="1" pivotButton="0" quotePrefix="0" xfId="0">
      <alignment horizontal="center" vertical="center"/>
    </xf>
    <xf numFmtId="0" fontId="19" fillId="14" borderId="6" applyAlignment="1" pivotButton="0" quotePrefix="0" xfId="0">
      <alignment horizontal="center" vertical="center"/>
    </xf>
    <xf numFmtId="0" fontId="16" fillId="15" borderId="0" applyAlignment="1" pivotButton="0" quotePrefix="0" xfId="0">
      <alignment horizontal="left" vertical="center" indent="1"/>
    </xf>
    <xf numFmtId="0" fontId="17" fillId="16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left" vertical="center"/>
    </xf>
    <xf numFmtId="0" fontId="2" fillId="2" borderId="5" applyAlignment="1" pivotButton="0" quotePrefix="0" xfId="0">
      <alignment horizontal="lef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2"/>
  <sheetViews>
    <sheetView showGridLines="0" workbookViewId="0">
      <selection activeCell="A1" sqref="A1"/>
    </sheetView>
  </sheetViews>
  <sheetFormatPr baseColWidth="8" defaultRowHeight="15"/>
  <cols>
    <col width="18" customWidth="1" style="26" min="1" max="1"/>
    <col width="12" customWidth="1" style="26" min="2" max="2"/>
    <col width="8" customWidth="1" style="26" min="3" max="3"/>
  </cols>
  <sheetData>
    <row r="1" ht="28" customHeight="1" s="26">
      <c r="A1" s="27" t="inlineStr">
        <is>
          <t>HORARIOS DE SALIDA — Tren Urquiza</t>
        </is>
      </c>
    </row>
    <row r="2" ht="18" customHeight="1" s="26">
      <c r="A2" s="28" t="inlineStr">
        <is>
          <t>⚠️  Editar SOLO los horarios en esta hoja. El script lee únicamente esta pestaña.</t>
        </is>
      </c>
    </row>
    <row r="3" ht="8" customHeight="1" s="26"/>
    <row r="4" ht="18" customHeight="1" s="26">
      <c r="A4" s="29" t="inlineStr">
        <is>
          <t>DL_weekday   |   Lunes a Viernes  → Lacroze</t>
        </is>
      </c>
    </row>
    <row r="5" ht="15" customHeight="1" s="26">
      <c r="A5" s="30" t="inlineStr">
        <is>
          <t>Variable</t>
        </is>
      </c>
      <c r="B5" s="30" t="inlineStr">
        <is>
          <t>Nº</t>
        </is>
      </c>
      <c r="C5" s="30" t="inlineStr">
        <is>
          <t>Horario</t>
        </is>
      </c>
    </row>
    <row r="6" ht="15" customHeight="1" s="26">
      <c r="A6" s="31" t="inlineStr">
        <is>
          <t>DL_weekday</t>
        </is>
      </c>
      <c r="B6" s="31" t="n">
        <v>1</v>
      </c>
      <c r="C6" s="32" t="inlineStr">
        <is>
          <t>01:00</t>
        </is>
      </c>
    </row>
    <row r="7" ht="15" customHeight="1" s="26">
      <c r="A7" s="33" t="inlineStr">
        <is>
          <t>DL_weekday</t>
        </is>
      </c>
      <c r="B7" s="33" t="n">
        <v>2</v>
      </c>
      <c r="C7" s="34" t="inlineStr">
        <is>
          <t>02:30</t>
        </is>
      </c>
    </row>
    <row r="8" ht="15" customHeight="1" s="26">
      <c r="A8" s="31" t="inlineStr">
        <is>
          <t>DL_weekday</t>
        </is>
      </c>
      <c r="B8" s="31" t="n">
        <v>3</v>
      </c>
      <c r="C8" s="32" t="inlineStr">
        <is>
          <t>03:45</t>
        </is>
      </c>
    </row>
    <row r="9" ht="15" customHeight="1" s="26">
      <c r="A9" s="33" t="inlineStr">
        <is>
          <t>DL_weekday</t>
        </is>
      </c>
      <c r="B9" s="33" t="n">
        <v>4</v>
      </c>
      <c r="C9" s="34" t="inlineStr">
        <is>
          <t>04:30</t>
        </is>
      </c>
    </row>
    <row r="10" ht="15" customHeight="1" s="26">
      <c r="A10" s="31" t="inlineStr">
        <is>
          <t>DL_weekday</t>
        </is>
      </c>
      <c r="B10" s="31" t="n">
        <v>5</v>
      </c>
      <c r="C10" s="32" t="inlineStr">
        <is>
          <t>04:45</t>
        </is>
      </c>
    </row>
    <row r="11" ht="15" customHeight="1" s="26">
      <c r="A11" s="33" t="inlineStr">
        <is>
          <t>DL_weekday</t>
        </is>
      </c>
      <c r="B11" s="33" t="n">
        <v>6</v>
      </c>
      <c r="C11" s="34" t="inlineStr">
        <is>
          <t>05:00</t>
        </is>
      </c>
    </row>
    <row r="12" ht="15" customHeight="1" s="26">
      <c r="A12" s="31" t="inlineStr">
        <is>
          <t>DL_weekday</t>
        </is>
      </c>
      <c r="B12" s="31" t="n">
        <v>7</v>
      </c>
      <c r="C12" s="32" t="inlineStr">
        <is>
          <t>05:15</t>
        </is>
      </c>
    </row>
    <row r="13" ht="15" customHeight="1" s="26">
      <c r="A13" s="33" t="inlineStr">
        <is>
          <t>DL_weekday</t>
        </is>
      </c>
      <c r="B13" s="33" t="n">
        <v>8</v>
      </c>
      <c r="C13" s="34" t="inlineStr">
        <is>
          <t>05:30</t>
        </is>
      </c>
    </row>
    <row r="14" ht="15" customHeight="1" s="26">
      <c r="A14" s="31" t="inlineStr">
        <is>
          <t>DL_weekday</t>
        </is>
      </c>
      <c r="B14" s="31" t="n">
        <v>9</v>
      </c>
      <c r="C14" s="32" t="inlineStr">
        <is>
          <t>05:40</t>
        </is>
      </c>
    </row>
    <row r="15" ht="15" customHeight="1" s="26">
      <c r="A15" s="33" t="inlineStr">
        <is>
          <t>DL_weekday</t>
        </is>
      </c>
      <c r="B15" s="33" t="n">
        <v>10</v>
      </c>
      <c r="C15" s="34" t="inlineStr">
        <is>
          <t>05:51</t>
        </is>
      </c>
    </row>
    <row r="16" ht="15" customHeight="1" s="26">
      <c r="A16" s="31" t="inlineStr">
        <is>
          <t>DL_weekday</t>
        </is>
      </c>
      <c r="B16" s="31" t="n">
        <v>11</v>
      </c>
      <c r="C16" s="32" t="inlineStr">
        <is>
          <t>06:01</t>
        </is>
      </c>
    </row>
    <row r="17" ht="15" customHeight="1" s="26">
      <c r="A17" s="33" t="inlineStr">
        <is>
          <t>DL_weekday</t>
        </is>
      </c>
      <c r="B17" s="33" t="n">
        <v>12</v>
      </c>
      <c r="C17" s="34" t="inlineStr">
        <is>
          <t>06:11</t>
        </is>
      </c>
    </row>
    <row r="18" ht="15" customHeight="1" s="26">
      <c r="A18" s="31" t="inlineStr">
        <is>
          <t>DL_weekday</t>
        </is>
      </c>
      <c r="B18" s="31" t="n">
        <v>13</v>
      </c>
      <c r="C18" s="32" t="inlineStr">
        <is>
          <t>06:21</t>
        </is>
      </c>
    </row>
    <row r="19" ht="15" customHeight="1" s="26">
      <c r="A19" s="33" t="inlineStr">
        <is>
          <t>DL_weekday</t>
        </is>
      </c>
      <c r="B19" s="33" t="n">
        <v>14</v>
      </c>
      <c r="C19" s="34" t="inlineStr">
        <is>
          <t>06:31</t>
        </is>
      </c>
    </row>
    <row r="20" ht="15" customHeight="1" s="26">
      <c r="A20" s="31" t="inlineStr">
        <is>
          <t>DL_weekday</t>
        </is>
      </c>
      <c r="B20" s="31" t="n">
        <v>15</v>
      </c>
      <c r="C20" s="32" t="inlineStr">
        <is>
          <t>06:40</t>
        </is>
      </c>
    </row>
    <row r="21" ht="15" customHeight="1" s="26">
      <c r="A21" s="33" t="inlineStr">
        <is>
          <t>DL_weekday</t>
        </is>
      </c>
      <c r="B21" s="33" t="n">
        <v>16</v>
      </c>
      <c r="C21" s="34" t="inlineStr">
        <is>
          <t>06:48</t>
        </is>
      </c>
    </row>
    <row r="22" ht="15" customHeight="1" s="26">
      <c r="A22" s="31" t="inlineStr">
        <is>
          <t>DL_weekday</t>
        </is>
      </c>
      <c r="B22" s="31" t="n">
        <v>17</v>
      </c>
      <c r="C22" s="32" t="inlineStr">
        <is>
          <t>06:58</t>
        </is>
      </c>
    </row>
    <row r="23" ht="15" customHeight="1" s="26">
      <c r="A23" s="33" t="inlineStr">
        <is>
          <t>DL_weekday</t>
        </is>
      </c>
      <c r="B23" s="33" t="n">
        <v>18</v>
      </c>
      <c r="C23" s="34" t="inlineStr">
        <is>
          <t>07:08</t>
        </is>
      </c>
    </row>
    <row r="24" ht="15" customHeight="1" s="26">
      <c r="A24" s="31" t="inlineStr">
        <is>
          <t>DL_weekday</t>
        </is>
      </c>
      <c r="B24" s="31" t="n">
        <v>19</v>
      </c>
      <c r="C24" s="32" t="inlineStr">
        <is>
          <t>07:18</t>
        </is>
      </c>
    </row>
    <row r="25" ht="15" customHeight="1" s="26">
      <c r="A25" s="33" t="inlineStr">
        <is>
          <t>DL_weekday</t>
        </is>
      </c>
      <c r="B25" s="33" t="n">
        <v>20</v>
      </c>
      <c r="C25" s="34" t="inlineStr">
        <is>
          <t>07:26</t>
        </is>
      </c>
    </row>
    <row r="26" ht="15" customHeight="1" s="26">
      <c r="A26" s="31" t="inlineStr">
        <is>
          <t>DL_weekday</t>
        </is>
      </c>
      <c r="B26" s="31" t="n">
        <v>21</v>
      </c>
      <c r="C26" s="32" t="inlineStr">
        <is>
          <t>07:34</t>
        </is>
      </c>
    </row>
    <row r="27" ht="15" customHeight="1" s="26">
      <c r="A27" s="33" t="inlineStr">
        <is>
          <t>DL_weekday</t>
        </is>
      </c>
      <c r="B27" s="33" t="n">
        <v>22</v>
      </c>
      <c r="C27" s="34" t="inlineStr">
        <is>
          <t>07:42</t>
        </is>
      </c>
    </row>
    <row r="28" ht="15" customHeight="1" s="26">
      <c r="A28" s="31" t="inlineStr">
        <is>
          <t>DL_weekday</t>
        </is>
      </c>
      <c r="B28" s="31" t="n">
        <v>23</v>
      </c>
      <c r="C28" s="32" t="inlineStr">
        <is>
          <t>07:50</t>
        </is>
      </c>
    </row>
    <row r="29" ht="15" customHeight="1" s="26">
      <c r="A29" s="33" t="inlineStr">
        <is>
          <t>DL_weekday</t>
        </is>
      </c>
      <c r="B29" s="33" t="n">
        <v>24</v>
      </c>
      <c r="C29" s="34" t="inlineStr">
        <is>
          <t>07:58</t>
        </is>
      </c>
    </row>
    <row r="30" ht="15" customHeight="1" s="26">
      <c r="A30" s="31" t="inlineStr">
        <is>
          <t>DL_weekday</t>
        </is>
      </c>
      <c r="B30" s="31" t="n">
        <v>25</v>
      </c>
      <c r="C30" s="32" t="inlineStr">
        <is>
          <t>08:06</t>
        </is>
      </c>
    </row>
    <row r="31" ht="15" customHeight="1" s="26">
      <c r="A31" s="33" t="inlineStr">
        <is>
          <t>DL_weekday</t>
        </is>
      </c>
      <c r="B31" s="33" t="n">
        <v>26</v>
      </c>
      <c r="C31" s="34" t="inlineStr">
        <is>
          <t>08:14</t>
        </is>
      </c>
    </row>
    <row r="32" ht="15" customHeight="1" s="26">
      <c r="A32" s="31" t="inlineStr">
        <is>
          <t>DL_weekday</t>
        </is>
      </c>
      <c r="B32" s="31" t="n">
        <v>27</v>
      </c>
      <c r="C32" s="32" t="inlineStr">
        <is>
          <t>08:22</t>
        </is>
      </c>
    </row>
    <row r="33" ht="15" customHeight="1" s="26">
      <c r="A33" s="33" t="inlineStr">
        <is>
          <t>DL_weekday</t>
        </is>
      </c>
      <c r="B33" s="33" t="n">
        <v>28</v>
      </c>
      <c r="C33" s="34" t="inlineStr">
        <is>
          <t>08:29</t>
        </is>
      </c>
    </row>
    <row r="34" ht="15" customHeight="1" s="26">
      <c r="A34" s="31" t="inlineStr">
        <is>
          <t>DL_weekday</t>
        </is>
      </c>
      <c r="B34" s="31" t="n">
        <v>29</v>
      </c>
      <c r="C34" s="32" t="inlineStr">
        <is>
          <t>08:39</t>
        </is>
      </c>
    </row>
    <row r="35" ht="15" customHeight="1" s="26">
      <c r="A35" s="33" t="inlineStr">
        <is>
          <t>DL_weekday</t>
        </is>
      </c>
      <c r="B35" s="33" t="n">
        <v>30</v>
      </c>
      <c r="C35" s="34" t="inlineStr">
        <is>
          <t>08:49</t>
        </is>
      </c>
    </row>
    <row r="36" ht="15" customHeight="1" s="26">
      <c r="A36" s="31" t="inlineStr">
        <is>
          <t>DL_weekday</t>
        </is>
      </c>
      <c r="B36" s="31" t="n">
        <v>31</v>
      </c>
      <c r="C36" s="32" t="inlineStr">
        <is>
          <t>08:59</t>
        </is>
      </c>
    </row>
    <row r="37" ht="15" customHeight="1" s="26">
      <c r="A37" s="33" t="inlineStr">
        <is>
          <t>DL_weekday</t>
        </is>
      </c>
      <c r="B37" s="33" t="n">
        <v>32</v>
      </c>
      <c r="C37" s="34" t="inlineStr">
        <is>
          <t>09:09</t>
        </is>
      </c>
    </row>
    <row r="38" ht="15" customHeight="1" s="26">
      <c r="A38" s="31" t="inlineStr">
        <is>
          <t>DL_weekday</t>
        </is>
      </c>
      <c r="B38" s="31" t="n">
        <v>33</v>
      </c>
      <c r="C38" s="32" t="inlineStr">
        <is>
          <t>09:19</t>
        </is>
      </c>
    </row>
    <row r="39" ht="15" customHeight="1" s="26">
      <c r="A39" s="33" t="inlineStr">
        <is>
          <t>DL_weekday</t>
        </is>
      </c>
      <c r="B39" s="33" t="n">
        <v>34</v>
      </c>
      <c r="C39" s="34" t="inlineStr">
        <is>
          <t>09:29</t>
        </is>
      </c>
    </row>
    <row r="40" ht="15" customHeight="1" s="26">
      <c r="A40" s="31" t="inlineStr">
        <is>
          <t>DL_weekday</t>
        </is>
      </c>
      <c r="B40" s="31" t="n">
        <v>35</v>
      </c>
      <c r="C40" s="32" t="inlineStr">
        <is>
          <t>09:39</t>
        </is>
      </c>
    </row>
    <row r="41" ht="15" customHeight="1" s="26">
      <c r="A41" s="33" t="inlineStr">
        <is>
          <t>DL_weekday</t>
        </is>
      </c>
      <c r="B41" s="33" t="n">
        <v>36</v>
      </c>
      <c r="C41" s="34" t="inlineStr">
        <is>
          <t>09:49</t>
        </is>
      </c>
    </row>
    <row r="42" ht="15" customHeight="1" s="26">
      <c r="A42" s="31" t="inlineStr">
        <is>
          <t>DL_weekday</t>
        </is>
      </c>
      <c r="B42" s="31" t="n">
        <v>37</v>
      </c>
      <c r="C42" s="32" t="inlineStr">
        <is>
          <t>09:59</t>
        </is>
      </c>
    </row>
    <row r="43" ht="15" customHeight="1" s="26">
      <c r="A43" s="33" t="inlineStr">
        <is>
          <t>DL_weekday</t>
        </is>
      </c>
      <c r="B43" s="33" t="n">
        <v>38</v>
      </c>
      <c r="C43" s="34" t="inlineStr">
        <is>
          <t>10:14</t>
        </is>
      </c>
    </row>
    <row r="44" ht="15" customHeight="1" s="26">
      <c r="A44" s="31" t="inlineStr">
        <is>
          <t>DL_weekday</t>
        </is>
      </c>
      <c r="B44" s="31" t="n">
        <v>39</v>
      </c>
      <c r="C44" s="32" t="inlineStr">
        <is>
          <t>10:31</t>
        </is>
      </c>
    </row>
    <row r="45" ht="15" customHeight="1" s="26">
      <c r="A45" s="33" t="inlineStr">
        <is>
          <t>DL_weekday</t>
        </is>
      </c>
      <c r="B45" s="33" t="n">
        <v>40</v>
      </c>
      <c r="C45" s="34" t="inlineStr">
        <is>
          <t>10:51</t>
        </is>
      </c>
    </row>
    <row r="46" ht="15" customHeight="1" s="26">
      <c r="A46" s="31" t="inlineStr">
        <is>
          <t>DL_weekday</t>
        </is>
      </c>
      <c r="B46" s="31" t="n">
        <v>41</v>
      </c>
      <c r="C46" s="32" t="inlineStr">
        <is>
          <t>11:07</t>
        </is>
      </c>
    </row>
    <row r="47" ht="15" customHeight="1" s="26">
      <c r="A47" s="33" t="inlineStr">
        <is>
          <t>DL_weekday</t>
        </is>
      </c>
      <c r="B47" s="33" t="n">
        <v>42</v>
      </c>
      <c r="C47" s="34" t="inlineStr">
        <is>
          <t>11:22</t>
        </is>
      </c>
    </row>
    <row r="48" ht="15" customHeight="1" s="26">
      <c r="A48" s="31" t="inlineStr">
        <is>
          <t>DL_weekday</t>
        </is>
      </c>
      <c r="B48" s="31" t="n">
        <v>43</v>
      </c>
      <c r="C48" s="32" t="inlineStr">
        <is>
          <t>11:37</t>
        </is>
      </c>
    </row>
    <row r="49" ht="15" customHeight="1" s="26">
      <c r="A49" s="33" t="inlineStr">
        <is>
          <t>DL_weekday</t>
        </is>
      </c>
      <c r="B49" s="33" t="n">
        <v>44</v>
      </c>
      <c r="C49" s="34" t="inlineStr">
        <is>
          <t>11:52</t>
        </is>
      </c>
    </row>
    <row r="50" ht="15" customHeight="1" s="26">
      <c r="A50" s="31" t="inlineStr">
        <is>
          <t>DL_weekday</t>
        </is>
      </c>
      <c r="B50" s="31" t="n">
        <v>45</v>
      </c>
      <c r="C50" s="32" t="inlineStr">
        <is>
          <t>12:07</t>
        </is>
      </c>
    </row>
    <row r="51" ht="15" customHeight="1" s="26">
      <c r="A51" s="33" t="inlineStr">
        <is>
          <t>DL_weekday</t>
        </is>
      </c>
      <c r="B51" s="33" t="n">
        <v>46</v>
      </c>
      <c r="C51" s="34" t="inlineStr">
        <is>
          <t>12:22</t>
        </is>
      </c>
    </row>
    <row r="52" ht="15" customHeight="1" s="26">
      <c r="A52" s="31" t="inlineStr">
        <is>
          <t>DL_weekday</t>
        </is>
      </c>
      <c r="B52" s="31" t="n">
        <v>47</v>
      </c>
      <c r="C52" s="32" t="inlineStr">
        <is>
          <t>12:37</t>
        </is>
      </c>
    </row>
    <row r="53" ht="15" customHeight="1" s="26">
      <c r="A53" s="33" t="inlineStr">
        <is>
          <t>DL_weekday</t>
        </is>
      </c>
      <c r="B53" s="33" t="n">
        <v>48</v>
      </c>
      <c r="C53" s="34" t="inlineStr">
        <is>
          <t>12:52</t>
        </is>
      </c>
    </row>
    <row r="54" ht="15" customHeight="1" s="26">
      <c r="A54" s="31" t="inlineStr">
        <is>
          <t>DL_weekday</t>
        </is>
      </c>
      <c r="B54" s="31" t="n">
        <v>49</v>
      </c>
      <c r="C54" s="32" t="inlineStr">
        <is>
          <t>13:07</t>
        </is>
      </c>
    </row>
    <row r="55" ht="15" customHeight="1" s="26">
      <c r="A55" s="33" t="inlineStr">
        <is>
          <t>DL_weekday</t>
        </is>
      </c>
      <c r="B55" s="33" t="n">
        <v>50</v>
      </c>
      <c r="C55" s="34" t="inlineStr">
        <is>
          <t>13:22</t>
        </is>
      </c>
    </row>
    <row r="56" ht="15" customHeight="1" s="26">
      <c r="A56" s="31" t="inlineStr">
        <is>
          <t>DL_weekday</t>
        </is>
      </c>
      <c r="B56" s="31" t="n">
        <v>51</v>
      </c>
      <c r="C56" s="32" t="inlineStr">
        <is>
          <t>13:37</t>
        </is>
      </c>
    </row>
    <row r="57" ht="15" customHeight="1" s="26">
      <c r="A57" s="33" t="inlineStr">
        <is>
          <t>DL_weekday</t>
        </is>
      </c>
      <c r="B57" s="33" t="n">
        <v>52</v>
      </c>
      <c r="C57" s="34" t="inlineStr">
        <is>
          <t>13:52</t>
        </is>
      </c>
    </row>
    <row r="58" ht="15" customHeight="1" s="26">
      <c r="A58" s="31" t="inlineStr">
        <is>
          <t>DL_weekday</t>
        </is>
      </c>
      <c r="B58" s="31" t="n">
        <v>53</v>
      </c>
      <c r="C58" s="32" t="inlineStr">
        <is>
          <t>14:07</t>
        </is>
      </c>
    </row>
    <row r="59" ht="15" customHeight="1" s="26">
      <c r="A59" s="33" t="inlineStr">
        <is>
          <t>DL_weekday</t>
        </is>
      </c>
      <c r="B59" s="33" t="n">
        <v>54</v>
      </c>
      <c r="C59" s="34" t="inlineStr">
        <is>
          <t>14:22</t>
        </is>
      </c>
    </row>
    <row r="60" ht="15" customHeight="1" s="26">
      <c r="A60" s="31" t="inlineStr">
        <is>
          <t>DL_weekday</t>
        </is>
      </c>
      <c r="B60" s="31" t="n">
        <v>55</v>
      </c>
      <c r="C60" s="32" t="inlineStr">
        <is>
          <t>14:37</t>
        </is>
      </c>
    </row>
    <row r="61" ht="15" customHeight="1" s="26">
      <c r="A61" s="33" t="inlineStr">
        <is>
          <t>DL_weekday</t>
        </is>
      </c>
      <c r="B61" s="33" t="n">
        <v>56</v>
      </c>
      <c r="C61" s="34" t="inlineStr">
        <is>
          <t>14:52</t>
        </is>
      </c>
    </row>
    <row r="62" ht="15" customHeight="1" s="26">
      <c r="A62" s="31" t="inlineStr">
        <is>
          <t>DL_weekday</t>
        </is>
      </c>
      <c r="B62" s="31" t="n">
        <v>57</v>
      </c>
      <c r="C62" s="32" t="inlineStr">
        <is>
          <t>15:07</t>
        </is>
      </c>
    </row>
    <row r="63" ht="15" customHeight="1" s="26">
      <c r="A63" s="33" t="inlineStr">
        <is>
          <t>DL_weekday</t>
        </is>
      </c>
      <c r="B63" s="33" t="n">
        <v>58</v>
      </c>
      <c r="C63" s="34" t="inlineStr">
        <is>
          <t>15:22</t>
        </is>
      </c>
    </row>
    <row r="64" ht="15" customHeight="1" s="26">
      <c r="A64" s="31" t="inlineStr">
        <is>
          <t>DL_weekday</t>
        </is>
      </c>
      <c r="B64" s="31" t="n">
        <v>59</v>
      </c>
      <c r="C64" s="32" t="inlineStr">
        <is>
          <t>15:37</t>
        </is>
      </c>
    </row>
    <row r="65" ht="15" customHeight="1" s="26">
      <c r="A65" s="33" t="inlineStr">
        <is>
          <t>DL_weekday</t>
        </is>
      </c>
      <c r="B65" s="33" t="n">
        <v>60</v>
      </c>
      <c r="C65" s="34" t="inlineStr">
        <is>
          <t>15:52</t>
        </is>
      </c>
    </row>
    <row r="66" ht="15" customHeight="1" s="26">
      <c r="A66" s="31" t="inlineStr">
        <is>
          <t>DL_weekday</t>
        </is>
      </c>
      <c r="B66" s="31" t="n">
        <v>61</v>
      </c>
      <c r="C66" s="32" t="inlineStr">
        <is>
          <t>16:07</t>
        </is>
      </c>
    </row>
    <row r="67" ht="15" customHeight="1" s="26">
      <c r="A67" s="33" t="inlineStr">
        <is>
          <t>DL_weekday</t>
        </is>
      </c>
      <c r="B67" s="33" t="n">
        <v>62</v>
      </c>
      <c r="C67" s="34" t="inlineStr">
        <is>
          <t>16:22</t>
        </is>
      </c>
    </row>
    <row r="68" ht="15" customHeight="1" s="26">
      <c r="A68" s="31" t="inlineStr">
        <is>
          <t>DL_weekday</t>
        </is>
      </c>
      <c r="B68" s="31" t="n">
        <v>63</v>
      </c>
      <c r="C68" s="32" t="inlineStr">
        <is>
          <t>16:37</t>
        </is>
      </c>
    </row>
    <row r="69" ht="15" customHeight="1" s="26">
      <c r="A69" s="33" t="inlineStr">
        <is>
          <t>DL_weekday</t>
        </is>
      </c>
      <c r="B69" s="33" t="n">
        <v>64</v>
      </c>
      <c r="C69" s="34" t="inlineStr">
        <is>
          <t>16:53</t>
        </is>
      </c>
    </row>
    <row r="70" ht="15" customHeight="1" s="26">
      <c r="A70" s="31" t="inlineStr">
        <is>
          <t>DL_weekday</t>
        </is>
      </c>
      <c r="B70" s="31" t="n">
        <v>65</v>
      </c>
      <c r="C70" s="32" t="inlineStr">
        <is>
          <t>17:08</t>
        </is>
      </c>
    </row>
    <row r="71" ht="15" customHeight="1" s="26">
      <c r="A71" s="33" t="inlineStr">
        <is>
          <t>DL_weekday</t>
        </is>
      </c>
      <c r="B71" s="33" t="n">
        <v>66</v>
      </c>
      <c r="C71" s="34" t="inlineStr">
        <is>
          <t>17:23</t>
        </is>
      </c>
    </row>
    <row r="72" ht="15" customHeight="1" s="26">
      <c r="A72" s="31" t="inlineStr">
        <is>
          <t>DL_weekday</t>
        </is>
      </c>
      <c r="B72" s="31" t="n">
        <v>67</v>
      </c>
      <c r="C72" s="32" t="inlineStr">
        <is>
          <t>17:38</t>
        </is>
      </c>
    </row>
    <row r="73" ht="15" customHeight="1" s="26">
      <c r="A73" s="33" t="inlineStr">
        <is>
          <t>DL_weekday</t>
        </is>
      </c>
      <c r="B73" s="33" t="n">
        <v>68</v>
      </c>
      <c r="C73" s="34" t="inlineStr">
        <is>
          <t>17:53</t>
        </is>
      </c>
    </row>
    <row r="74" ht="15" customHeight="1" s="26">
      <c r="A74" s="31" t="inlineStr">
        <is>
          <t>DL_weekday</t>
        </is>
      </c>
      <c r="B74" s="31" t="n">
        <v>69</v>
      </c>
      <c r="C74" s="32" t="inlineStr">
        <is>
          <t>18:03</t>
        </is>
      </c>
    </row>
    <row r="75" ht="15" customHeight="1" s="26">
      <c r="A75" s="33" t="inlineStr">
        <is>
          <t>DL_weekday</t>
        </is>
      </c>
      <c r="B75" s="33" t="n">
        <v>70</v>
      </c>
      <c r="C75" s="34" t="inlineStr">
        <is>
          <t>18:13</t>
        </is>
      </c>
    </row>
    <row r="76" ht="15" customHeight="1" s="26">
      <c r="A76" s="31" t="inlineStr">
        <is>
          <t>DL_weekday</t>
        </is>
      </c>
      <c r="B76" s="31" t="n">
        <v>71</v>
      </c>
      <c r="C76" s="32" t="inlineStr">
        <is>
          <t>18:23</t>
        </is>
      </c>
    </row>
    <row r="77" ht="15" customHeight="1" s="26">
      <c r="A77" s="33" t="inlineStr">
        <is>
          <t>DL_weekday</t>
        </is>
      </c>
      <c r="B77" s="33" t="n">
        <v>72</v>
      </c>
      <c r="C77" s="34" t="inlineStr">
        <is>
          <t>18:33</t>
        </is>
      </c>
    </row>
    <row r="78" ht="15" customHeight="1" s="26">
      <c r="A78" s="31" t="inlineStr">
        <is>
          <t>DL_weekday</t>
        </is>
      </c>
      <c r="B78" s="31" t="n">
        <v>73</v>
      </c>
      <c r="C78" s="32" t="inlineStr">
        <is>
          <t>18:43</t>
        </is>
      </c>
    </row>
    <row r="79" ht="15" customHeight="1" s="26">
      <c r="A79" s="33" t="inlineStr">
        <is>
          <t>DL_weekday</t>
        </is>
      </c>
      <c r="B79" s="33" t="n">
        <v>74</v>
      </c>
      <c r="C79" s="34" t="inlineStr">
        <is>
          <t>18:53</t>
        </is>
      </c>
    </row>
    <row r="80" ht="15" customHeight="1" s="26">
      <c r="A80" s="31" t="inlineStr">
        <is>
          <t>DL_weekday</t>
        </is>
      </c>
      <c r="B80" s="31" t="n">
        <v>75</v>
      </c>
      <c r="C80" s="32" t="inlineStr">
        <is>
          <t>19:03</t>
        </is>
      </c>
    </row>
    <row r="81" ht="15" customHeight="1" s="26">
      <c r="A81" s="33" t="inlineStr">
        <is>
          <t>DL_weekday</t>
        </is>
      </c>
      <c r="B81" s="33" t="n">
        <v>76</v>
      </c>
      <c r="C81" s="34" t="inlineStr">
        <is>
          <t>19:13</t>
        </is>
      </c>
    </row>
    <row r="82" ht="15" customHeight="1" s="26">
      <c r="A82" s="31" t="inlineStr">
        <is>
          <t>DL_weekday</t>
        </is>
      </c>
      <c r="B82" s="31" t="n">
        <v>77</v>
      </c>
      <c r="C82" s="32" t="inlineStr">
        <is>
          <t>19:23</t>
        </is>
      </c>
    </row>
    <row r="83" ht="15" customHeight="1" s="26">
      <c r="A83" s="33" t="inlineStr">
        <is>
          <t>DL_weekday</t>
        </is>
      </c>
      <c r="B83" s="33" t="n">
        <v>78</v>
      </c>
      <c r="C83" s="34" t="inlineStr">
        <is>
          <t>19:33</t>
        </is>
      </c>
    </row>
    <row r="84" ht="15" customHeight="1" s="26">
      <c r="A84" s="31" t="inlineStr">
        <is>
          <t>DL_weekday</t>
        </is>
      </c>
      <c r="B84" s="31" t="n">
        <v>79</v>
      </c>
      <c r="C84" s="32" t="inlineStr">
        <is>
          <t>19:43</t>
        </is>
      </c>
    </row>
    <row r="85" ht="15" customHeight="1" s="26">
      <c r="A85" s="33" t="inlineStr">
        <is>
          <t>DL_weekday</t>
        </is>
      </c>
      <c r="B85" s="33" t="n">
        <v>80</v>
      </c>
      <c r="C85" s="34" t="inlineStr">
        <is>
          <t>19:53</t>
        </is>
      </c>
    </row>
    <row r="86" ht="15" customHeight="1" s="26">
      <c r="A86" s="31" t="inlineStr">
        <is>
          <t>DL_weekday</t>
        </is>
      </c>
      <c r="B86" s="31" t="n">
        <v>81</v>
      </c>
      <c r="C86" s="32" t="inlineStr">
        <is>
          <t>20:03</t>
        </is>
      </c>
    </row>
    <row r="87" ht="15" customHeight="1" s="26">
      <c r="A87" s="33" t="inlineStr">
        <is>
          <t>DL_weekday</t>
        </is>
      </c>
      <c r="B87" s="33" t="n">
        <v>82</v>
      </c>
      <c r="C87" s="34" t="inlineStr">
        <is>
          <t>20:13</t>
        </is>
      </c>
    </row>
    <row r="88" ht="15" customHeight="1" s="26">
      <c r="A88" s="31" t="inlineStr">
        <is>
          <t>DL_weekday</t>
        </is>
      </c>
      <c r="B88" s="31" t="n">
        <v>83</v>
      </c>
      <c r="C88" s="32" t="inlineStr">
        <is>
          <t>20:23</t>
        </is>
      </c>
    </row>
    <row r="89" ht="15" customHeight="1" s="26">
      <c r="A89" s="33" t="inlineStr">
        <is>
          <t>DL_weekday</t>
        </is>
      </c>
      <c r="B89" s="33" t="n">
        <v>84</v>
      </c>
      <c r="C89" s="34" t="inlineStr">
        <is>
          <t>20:43</t>
        </is>
      </c>
    </row>
    <row r="90" ht="15" customHeight="1" s="26">
      <c r="A90" s="31" t="inlineStr">
        <is>
          <t>DL_weekday</t>
        </is>
      </c>
      <c r="B90" s="31" t="n">
        <v>85</v>
      </c>
      <c r="C90" s="32" t="inlineStr">
        <is>
          <t>21:03</t>
        </is>
      </c>
    </row>
    <row r="91" ht="15" customHeight="1" s="26">
      <c r="A91" s="33" t="inlineStr">
        <is>
          <t>DL_weekday</t>
        </is>
      </c>
      <c r="B91" s="33" t="n">
        <v>86</v>
      </c>
      <c r="C91" s="34" t="inlineStr">
        <is>
          <t>21:23</t>
        </is>
      </c>
    </row>
    <row r="92" ht="15" customHeight="1" s="26">
      <c r="A92" s="31" t="inlineStr">
        <is>
          <t>DL_weekday</t>
        </is>
      </c>
      <c r="B92" s="31" t="n">
        <v>87</v>
      </c>
      <c r="C92" s="32" t="inlineStr">
        <is>
          <t>21:41</t>
        </is>
      </c>
    </row>
    <row r="93" ht="15" customHeight="1" s="26">
      <c r="A93" s="33" t="inlineStr">
        <is>
          <t>DL_weekday</t>
        </is>
      </c>
      <c r="B93" s="33" t="n">
        <v>88</v>
      </c>
      <c r="C93" s="34" t="inlineStr">
        <is>
          <t>22:01</t>
        </is>
      </c>
    </row>
    <row r="94" ht="15" customHeight="1" s="26">
      <c r="A94" s="31" t="inlineStr">
        <is>
          <t>DL_weekday</t>
        </is>
      </c>
      <c r="B94" s="31" t="n">
        <v>89</v>
      </c>
      <c r="C94" s="32" t="inlineStr">
        <is>
          <t>22:13</t>
        </is>
      </c>
    </row>
    <row r="95" ht="15" customHeight="1" s="26">
      <c r="A95" s="33" t="inlineStr">
        <is>
          <t>DL_weekday</t>
        </is>
      </c>
      <c r="B95" s="33" t="n">
        <v>90</v>
      </c>
      <c r="C95" s="34" t="inlineStr">
        <is>
          <t>22:33</t>
        </is>
      </c>
    </row>
    <row r="96" ht="15" customHeight="1" s="26">
      <c r="A96" s="31" t="inlineStr">
        <is>
          <t>DL_weekday</t>
        </is>
      </c>
      <c r="B96" s="31" t="n">
        <v>91</v>
      </c>
      <c r="C96" s="32" t="inlineStr">
        <is>
          <t>22:53</t>
        </is>
      </c>
    </row>
    <row r="97" ht="15" customHeight="1" s="26">
      <c r="A97" s="33" t="inlineStr">
        <is>
          <t>DL_weekday</t>
        </is>
      </c>
      <c r="B97" s="33" t="n">
        <v>92</v>
      </c>
      <c r="C97" s="34" t="inlineStr">
        <is>
          <t>23:21</t>
        </is>
      </c>
    </row>
    <row r="98" ht="15" customHeight="1" s="26">
      <c r="A98" s="31" t="inlineStr">
        <is>
          <t>DL_weekday</t>
        </is>
      </c>
      <c r="B98" s="31" t="n">
        <v>93</v>
      </c>
      <c r="C98" s="32" t="inlineStr">
        <is>
          <t>23:59</t>
        </is>
      </c>
    </row>
    <row r="100" ht="18" customHeight="1" s="26">
      <c r="A100" s="29" t="inlineStr">
        <is>
          <t>DL_saturday   |   Sábados  → Lacroze</t>
        </is>
      </c>
    </row>
    <row r="101" ht="15" customHeight="1" s="26">
      <c r="A101" s="30" t="inlineStr">
        <is>
          <t>Variable</t>
        </is>
      </c>
      <c r="B101" s="30" t="inlineStr">
        <is>
          <t>Nº</t>
        </is>
      </c>
      <c r="C101" s="30" t="inlineStr">
        <is>
          <t>Horario</t>
        </is>
      </c>
    </row>
    <row r="102" ht="15" customHeight="1" s="26">
      <c r="A102" s="31" t="inlineStr">
        <is>
          <t>DL_saturday</t>
        </is>
      </c>
      <c r="B102" s="31" t="n">
        <v>1</v>
      </c>
      <c r="C102" s="32" t="inlineStr">
        <is>
          <t>01:00</t>
        </is>
      </c>
    </row>
    <row r="103" ht="15" customHeight="1" s="26">
      <c r="A103" s="33" t="inlineStr">
        <is>
          <t>DL_saturday</t>
        </is>
      </c>
      <c r="B103" s="33" t="n">
        <v>2</v>
      </c>
      <c r="C103" s="34" t="inlineStr">
        <is>
          <t>02:30</t>
        </is>
      </c>
    </row>
    <row r="104" ht="15" customHeight="1" s="26">
      <c r="A104" s="31" t="inlineStr">
        <is>
          <t>DL_saturday</t>
        </is>
      </c>
      <c r="B104" s="31" t="n">
        <v>3</v>
      </c>
      <c r="C104" s="32" t="inlineStr">
        <is>
          <t>03:45</t>
        </is>
      </c>
    </row>
    <row r="105" ht="15" customHeight="1" s="26">
      <c r="A105" s="33" t="inlineStr">
        <is>
          <t>DL_saturday</t>
        </is>
      </c>
      <c r="B105" s="33" t="n">
        <v>4</v>
      </c>
      <c r="C105" s="34" t="inlineStr">
        <is>
          <t>04:30</t>
        </is>
      </c>
    </row>
    <row r="106" ht="15" customHeight="1" s="26">
      <c r="A106" s="31" t="inlineStr">
        <is>
          <t>DL_saturday</t>
        </is>
      </c>
      <c r="B106" s="31" t="n">
        <v>5</v>
      </c>
      <c r="C106" s="32" t="inlineStr">
        <is>
          <t>05:00</t>
        </is>
      </c>
    </row>
    <row r="107" ht="15" customHeight="1" s="26">
      <c r="A107" s="33" t="inlineStr">
        <is>
          <t>DL_saturday</t>
        </is>
      </c>
      <c r="B107" s="33" t="n">
        <v>6</v>
      </c>
      <c r="C107" s="34" t="inlineStr">
        <is>
          <t>05:30</t>
        </is>
      </c>
    </row>
    <row r="108" ht="15" customHeight="1" s="26">
      <c r="A108" s="31" t="inlineStr">
        <is>
          <t>DL_saturday</t>
        </is>
      </c>
      <c r="B108" s="31" t="n">
        <v>7</v>
      </c>
      <c r="C108" s="32" t="inlineStr">
        <is>
          <t>05:52</t>
        </is>
      </c>
    </row>
    <row r="109" ht="15" customHeight="1" s="26">
      <c r="A109" s="33" t="inlineStr">
        <is>
          <t>DL_saturday</t>
        </is>
      </c>
      <c r="B109" s="33" t="n">
        <v>8</v>
      </c>
      <c r="C109" s="34" t="inlineStr">
        <is>
          <t>06:12</t>
        </is>
      </c>
    </row>
    <row r="110" ht="15" customHeight="1" s="26">
      <c r="A110" s="31" t="inlineStr">
        <is>
          <t>DL_saturday</t>
        </is>
      </c>
      <c r="B110" s="31" t="n">
        <v>9</v>
      </c>
      <c r="C110" s="32" t="inlineStr">
        <is>
          <t>06:32</t>
        </is>
      </c>
    </row>
    <row r="111" ht="15" customHeight="1" s="26">
      <c r="A111" s="33" t="inlineStr">
        <is>
          <t>DL_saturday</t>
        </is>
      </c>
      <c r="B111" s="33" t="n">
        <v>10</v>
      </c>
      <c r="C111" s="34" t="inlineStr">
        <is>
          <t>06:52</t>
        </is>
      </c>
    </row>
    <row r="112" ht="15" customHeight="1" s="26">
      <c r="A112" s="31" t="inlineStr">
        <is>
          <t>DL_saturday</t>
        </is>
      </c>
      <c r="B112" s="31" t="n">
        <v>11</v>
      </c>
      <c r="C112" s="32" t="inlineStr">
        <is>
          <t>07:07</t>
        </is>
      </c>
    </row>
    <row r="113" ht="15" customHeight="1" s="26">
      <c r="A113" s="33" t="inlineStr">
        <is>
          <t>DL_saturday</t>
        </is>
      </c>
      <c r="B113" s="33" t="n">
        <v>12</v>
      </c>
      <c r="C113" s="34" t="inlineStr">
        <is>
          <t>07:22</t>
        </is>
      </c>
    </row>
    <row r="114" ht="15" customHeight="1" s="26">
      <c r="A114" s="31" t="inlineStr">
        <is>
          <t>DL_saturday</t>
        </is>
      </c>
      <c r="B114" s="31" t="n">
        <v>13</v>
      </c>
      <c r="C114" s="32" t="inlineStr">
        <is>
          <t>07:37</t>
        </is>
      </c>
    </row>
    <row r="115" ht="15" customHeight="1" s="26">
      <c r="A115" s="33" t="inlineStr">
        <is>
          <t>DL_saturday</t>
        </is>
      </c>
      <c r="B115" s="33" t="n">
        <v>14</v>
      </c>
      <c r="C115" s="34" t="inlineStr">
        <is>
          <t>07:52</t>
        </is>
      </c>
    </row>
    <row r="116" ht="15" customHeight="1" s="26">
      <c r="A116" s="31" t="inlineStr">
        <is>
          <t>DL_saturday</t>
        </is>
      </c>
      <c r="B116" s="31" t="n">
        <v>15</v>
      </c>
      <c r="C116" s="32" t="inlineStr">
        <is>
          <t>08:07</t>
        </is>
      </c>
    </row>
    <row r="117" ht="15" customHeight="1" s="26">
      <c r="A117" s="33" t="inlineStr">
        <is>
          <t>DL_saturday</t>
        </is>
      </c>
      <c r="B117" s="33" t="n">
        <v>16</v>
      </c>
      <c r="C117" s="34" t="inlineStr">
        <is>
          <t>08:22</t>
        </is>
      </c>
    </row>
    <row r="118" ht="15" customHeight="1" s="26">
      <c r="A118" s="31" t="inlineStr">
        <is>
          <t>DL_saturday</t>
        </is>
      </c>
      <c r="B118" s="31" t="n">
        <v>17</v>
      </c>
      <c r="C118" s="32" t="inlineStr">
        <is>
          <t>08:37</t>
        </is>
      </c>
    </row>
    <row r="119" ht="15" customHeight="1" s="26">
      <c r="A119" s="33" t="inlineStr">
        <is>
          <t>DL_saturday</t>
        </is>
      </c>
      <c r="B119" s="33" t="n">
        <v>18</v>
      </c>
      <c r="C119" s="34" t="inlineStr">
        <is>
          <t>08:52</t>
        </is>
      </c>
    </row>
    <row r="120" ht="15" customHeight="1" s="26">
      <c r="A120" s="31" t="inlineStr">
        <is>
          <t>DL_saturday</t>
        </is>
      </c>
      <c r="B120" s="31" t="n">
        <v>19</v>
      </c>
      <c r="C120" s="32" t="inlineStr">
        <is>
          <t>09:07</t>
        </is>
      </c>
    </row>
    <row r="121" ht="15" customHeight="1" s="26">
      <c r="A121" s="33" t="inlineStr">
        <is>
          <t>DL_saturday</t>
        </is>
      </c>
      <c r="B121" s="33" t="n">
        <v>20</v>
      </c>
      <c r="C121" s="34" t="inlineStr">
        <is>
          <t>09:22</t>
        </is>
      </c>
    </row>
    <row r="122" ht="15" customHeight="1" s="26">
      <c r="A122" s="31" t="inlineStr">
        <is>
          <t>DL_saturday</t>
        </is>
      </c>
      <c r="B122" s="31" t="n">
        <v>21</v>
      </c>
      <c r="C122" s="32" t="inlineStr">
        <is>
          <t>09:37</t>
        </is>
      </c>
    </row>
    <row r="123" ht="15" customHeight="1" s="26">
      <c r="A123" s="33" t="inlineStr">
        <is>
          <t>DL_saturday</t>
        </is>
      </c>
      <c r="B123" s="33" t="n">
        <v>22</v>
      </c>
      <c r="C123" s="34" t="inlineStr">
        <is>
          <t>09:52</t>
        </is>
      </c>
    </row>
    <row r="124" ht="15" customHeight="1" s="26">
      <c r="A124" s="31" t="inlineStr">
        <is>
          <t>DL_saturday</t>
        </is>
      </c>
      <c r="B124" s="31" t="n">
        <v>23</v>
      </c>
      <c r="C124" s="32" t="inlineStr">
        <is>
          <t>10:07</t>
        </is>
      </c>
    </row>
    <row r="125" ht="15" customHeight="1" s="26">
      <c r="A125" s="33" t="inlineStr">
        <is>
          <t>DL_saturday</t>
        </is>
      </c>
      <c r="B125" s="33" t="n">
        <v>24</v>
      </c>
      <c r="C125" s="34" t="inlineStr">
        <is>
          <t>10:22</t>
        </is>
      </c>
    </row>
    <row r="126" ht="15" customHeight="1" s="26">
      <c r="A126" s="31" t="inlineStr">
        <is>
          <t>DL_saturday</t>
        </is>
      </c>
      <c r="B126" s="31" t="n">
        <v>25</v>
      </c>
      <c r="C126" s="32" t="inlineStr">
        <is>
          <t>10:37</t>
        </is>
      </c>
    </row>
    <row r="127" ht="15" customHeight="1" s="26">
      <c r="A127" s="33" t="inlineStr">
        <is>
          <t>DL_saturday</t>
        </is>
      </c>
      <c r="B127" s="33" t="n">
        <v>26</v>
      </c>
      <c r="C127" s="34" t="inlineStr">
        <is>
          <t>10:52</t>
        </is>
      </c>
    </row>
    <row r="128" ht="15" customHeight="1" s="26">
      <c r="A128" s="31" t="inlineStr">
        <is>
          <t>DL_saturday</t>
        </is>
      </c>
      <c r="B128" s="31" t="n">
        <v>27</v>
      </c>
      <c r="C128" s="32" t="inlineStr">
        <is>
          <t>11:07</t>
        </is>
      </c>
    </row>
    <row r="129" ht="15" customHeight="1" s="26">
      <c r="A129" s="33" t="inlineStr">
        <is>
          <t>DL_saturday</t>
        </is>
      </c>
      <c r="B129" s="33" t="n">
        <v>28</v>
      </c>
      <c r="C129" s="34" t="inlineStr">
        <is>
          <t>11:22</t>
        </is>
      </c>
    </row>
    <row r="130" ht="15" customHeight="1" s="26">
      <c r="A130" s="31" t="inlineStr">
        <is>
          <t>DL_saturday</t>
        </is>
      </c>
      <c r="B130" s="31" t="n">
        <v>29</v>
      </c>
      <c r="C130" s="32" t="inlineStr">
        <is>
          <t>11:37</t>
        </is>
      </c>
    </row>
    <row r="131" ht="15" customHeight="1" s="26">
      <c r="A131" s="33" t="inlineStr">
        <is>
          <t>DL_saturday</t>
        </is>
      </c>
      <c r="B131" s="33" t="n">
        <v>30</v>
      </c>
      <c r="C131" s="34" t="inlineStr">
        <is>
          <t>11:52</t>
        </is>
      </c>
    </row>
    <row r="132" ht="15" customHeight="1" s="26">
      <c r="A132" s="31" t="inlineStr">
        <is>
          <t>DL_saturday</t>
        </is>
      </c>
      <c r="B132" s="31" t="n">
        <v>31</v>
      </c>
      <c r="C132" s="32" t="inlineStr">
        <is>
          <t>12:07</t>
        </is>
      </c>
    </row>
    <row r="133" ht="15" customHeight="1" s="26">
      <c r="A133" s="33" t="inlineStr">
        <is>
          <t>DL_saturday</t>
        </is>
      </c>
      <c r="B133" s="33" t="n">
        <v>32</v>
      </c>
      <c r="C133" s="34" t="inlineStr">
        <is>
          <t>12:22</t>
        </is>
      </c>
    </row>
    <row r="134" ht="15" customHeight="1" s="26">
      <c r="A134" s="31" t="inlineStr">
        <is>
          <t>DL_saturday</t>
        </is>
      </c>
      <c r="B134" s="31" t="n">
        <v>33</v>
      </c>
      <c r="C134" s="32" t="inlineStr">
        <is>
          <t>12:37</t>
        </is>
      </c>
    </row>
    <row r="135" ht="15" customHeight="1" s="26">
      <c r="A135" s="33" t="inlineStr">
        <is>
          <t>DL_saturday</t>
        </is>
      </c>
      <c r="B135" s="33" t="n">
        <v>34</v>
      </c>
      <c r="C135" s="34" t="inlineStr">
        <is>
          <t>12:52</t>
        </is>
      </c>
    </row>
    <row r="136" ht="15" customHeight="1" s="26">
      <c r="A136" s="31" t="inlineStr">
        <is>
          <t>DL_saturday</t>
        </is>
      </c>
      <c r="B136" s="31" t="n">
        <v>35</v>
      </c>
      <c r="C136" s="32" t="inlineStr">
        <is>
          <t>13:12</t>
        </is>
      </c>
    </row>
    <row r="137" ht="15" customHeight="1" s="26">
      <c r="A137" s="33" t="inlineStr">
        <is>
          <t>DL_saturday</t>
        </is>
      </c>
      <c r="B137" s="33" t="n">
        <v>36</v>
      </c>
      <c r="C137" s="34" t="inlineStr">
        <is>
          <t>13:32</t>
        </is>
      </c>
    </row>
    <row r="138" ht="15" customHeight="1" s="26">
      <c r="A138" s="31" t="inlineStr">
        <is>
          <t>DL_saturday</t>
        </is>
      </c>
      <c r="B138" s="31" t="n">
        <v>37</v>
      </c>
      <c r="C138" s="32" t="inlineStr">
        <is>
          <t>13:53</t>
        </is>
      </c>
    </row>
    <row r="139" ht="15" customHeight="1" s="26">
      <c r="A139" s="33" t="inlineStr">
        <is>
          <t>DL_saturday</t>
        </is>
      </c>
      <c r="B139" s="33" t="n">
        <v>38</v>
      </c>
      <c r="C139" s="34" t="inlineStr">
        <is>
          <t>14:12</t>
        </is>
      </c>
    </row>
    <row r="140" ht="15" customHeight="1" s="26">
      <c r="A140" s="31" t="inlineStr">
        <is>
          <t>DL_saturday</t>
        </is>
      </c>
      <c r="B140" s="31" t="n">
        <v>39</v>
      </c>
      <c r="C140" s="32" t="inlineStr">
        <is>
          <t>14:32</t>
        </is>
      </c>
    </row>
    <row r="141" ht="15" customHeight="1" s="26">
      <c r="A141" s="33" t="inlineStr">
        <is>
          <t>DL_saturday</t>
        </is>
      </c>
      <c r="B141" s="33" t="n">
        <v>40</v>
      </c>
      <c r="C141" s="34" t="inlineStr">
        <is>
          <t>14:52</t>
        </is>
      </c>
    </row>
    <row r="142" ht="15" customHeight="1" s="26">
      <c r="A142" s="31" t="inlineStr">
        <is>
          <t>DL_saturday</t>
        </is>
      </c>
      <c r="B142" s="31" t="n">
        <v>41</v>
      </c>
      <c r="C142" s="32" t="inlineStr">
        <is>
          <t>15:12</t>
        </is>
      </c>
    </row>
    <row r="143" ht="15" customHeight="1" s="26">
      <c r="A143" s="33" t="inlineStr">
        <is>
          <t>DL_saturday</t>
        </is>
      </c>
      <c r="B143" s="33" t="n">
        <v>42</v>
      </c>
      <c r="C143" s="34" t="inlineStr">
        <is>
          <t>15:32</t>
        </is>
      </c>
    </row>
    <row r="144" ht="15" customHeight="1" s="26">
      <c r="A144" s="31" t="inlineStr">
        <is>
          <t>DL_saturday</t>
        </is>
      </c>
      <c r="B144" s="31" t="n">
        <v>43</v>
      </c>
      <c r="C144" s="32" t="inlineStr">
        <is>
          <t>15:52</t>
        </is>
      </c>
    </row>
    <row r="145" ht="15" customHeight="1" s="26">
      <c r="A145" s="33" t="inlineStr">
        <is>
          <t>DL_saturday</t>
        </is>
      </c>
      <c r="B145" s="33" t="n">
        <v>44</v>
      </c>
      <c r="C145" s="34" t="inlineStr">
        <is>
          <t>16:12</t>
        </is>
      </c>
    </row>
    <row r="146" ht="15" customHeight="1" s="26">
      <c r="A146" s="31" t="inlineStr">
        <is>
          <t>DL_saturday</t>
        </is>
      </c>
      <c r="B146" s="31" t="n">
        <v>45</v>
      </c>
      <c r="C146" s="32" t="inlineStr">
        <is>
          <t>16:32</t>
        </is>
      </c>
    </row>
    <row r="147" ht="15" customHeight="1" s="26">
      <c r="A147" s="33" t="inlineStr">
        <is>
          <t>DL_saturday</t>
        </is>
      </c>
      <c r="B147" s="33" t="n">
        <v>46</v>
      </c>
      <c r="C147" s="34" t="inlineStr">
        <is>
          <t>16:52</t>
        </is>
      </c>
    </row>
    <row r="148" ht="15" customHeight="1" s="26">
      <c r="A148" s="31" t="inlineStr">
        <is>
          <t>DL_saturday</t>
        </is>
      </c>
      <c r="B148" s="31" t="n">
        <v>47</v>
      </c>
      <c r="C148" s="32" t="inlineStr">
        <is>
          <t>17:12</t>
        </is>
      </c>
    </row>
    <row r="149" ht="15" customHeight="1" s="26">
      <c r="A149" s="33" t="inlineStr">
        <is>
          <t>DL_saturday</t>
        </is>
      </c>
      <c r="B149" s="33" t="n">
        <v>48</v>
      </c>
      <c r="C149" s="34" t="inlineStr">
        <is>
          <t>17:32</t>
        </is>
      </c>
    </row>
    <row r="150" ht="15" customHeight="1" s="26">
      <c r="A150" s="31" t="inlineStr">
        <is>
          <t>DL_saturday</t>
        </is>
      </c>
      <c r="B150" s="31" t="n">
        <v>49</v>
      </c>
      <c r="C150" s="32" t="inlineStr">
        <is>
          <t>17:52</t>
        </is>
      </c>
    </row>
    <row r="151" ht="15" customHeight="1" s="26">
      <c r="A151" s="33" t="inlineStr">
        <is>
          <t>DL_saturday</t>
        </is>
      </c>
      <c r="B151" s="33" t="n">
        <v>50</v>
      </c>
      <c r="C151" s="34" t="inlineStr">
        <is>
          <t>18:12</t>
        </is>
      </c>
    </row>
    <row r="152" ht="15" customHeight="1" s="26">
      <c r="A152" s="31" t="inlineStr">
        <is>
          <t>DL_saturday</t>
        </is>
      </c>
      <c r="B152" s="31" t="n">
        <v>51</v>
      </c>
      <c r="C152" s="32" t="inlineStr">
        <is>
          <t>18:32</t>
        </is>
      </c>
    </row>
    <row r="153" ht="15" customHeight="1" s="26">
      <c r="A153" s="33" t="inlineStr">
        <is>
          <t>DL_saturday</t>
        </is>
      </c>
      <c r="B153" s="33" t="n">
        <v>52</v>
      </c>
      <c r="C153" s="34" t="inlineStr">
        <is>
          <t>18:52</t>
        </is>
      </c>
    </row>
    <row r="154" ht="15" customHeight="1" s="26">
      <c r="A154" s="31" t="inlineStr">
        <is>
          <t>DL_saturday</t>
        </is>
      </c>
      <c r="B154" s="31" t="n">
        <v>53</v>
      </c>
      <c r="C154" s="32" t="inlineStr">
        <is>
          <t>19:12</t>
        </is>
      </c>
    </row>
    <row r="155" ht="15" customHeight="1" s="26">
      <c r="A155" s="33" t="inlineStr">
        <is>
          <t>DL_saturday</t>
        </is>
      </c>
      <c r="B155" s="33" t="n">
        <v>54</v>
      </c>
      <c r="C155" s="34" t="inlineStr">
        <is>
          <t>19:32</t>
        </is>
      </c>
    </row>
    <row r="156" ht="15" customHeight="1" s="26">
      <c r="A156" s="31" t="inlineStr">
        <is>
          <t>DL_saturday</t>
        </is>
      </c>
      <c r="B156" s="31" t="n">
        <v>55</v>
      </c>
      <c r="C156" s="32" t="inlineStr">
        <is>
          <t>19:52</t>
        </is>
      </c>
    </row>
    <row r="157" ht="15" customHeight="1" s="26">
      <c r="A157" s="33" t="inlineStr">
        <is>
          <t>DL_saturday</t>
        </is>
      </c>
      <c r="B157" s="33" t="n">
        <v>56</v>
      </c>
      <c r="C157" s="34" t="inlineStr">
        <is>
          <t>20:12</t>
        </is>
      </c>
    </row>
    <row r="158" ht="15" customHeight="1" s="26">
      <c r="A158" s="31" t="inlineStr">
        <is>
          <t>DL_saturday</t>
        </is>
      </c>
      <c r="B158" s="31" t="n">
        <v>57</v>
      </c>
      <c r="C158" s="32" t="inlineStr">
        <is>
          <t>20:32</t>
        </is>
      </c>
    </row>
    <row r="159" ht="15" customHeight="1" s="26">
      <c r="A159" s="33" t="inlineStr">
        <is>
          <t>DL_saturday</t>
        </is>
      </c>
      <c r="B159" s="33" t="n">
        <v>58</v>
      </c>
      <c r="C159" s="34" t="inlineStr">
        <is>
          <t>20:52</t>
        </is>
      </c>
    </row>
    <row r="160" ht="15" customHeight="1" s="26">
      <c r="A160" s="31" t="inlineStr">
        <is>
          <t>DL_saturday</t>
        </is>
      </c>
      <c r="B160" s="31" t="n">
        <v>59</v>
      </c>
      <c r="C160" s="32" t="inlineStr">
        <is>
          <t>21:28</t>
        </is>
      </c>
    </row>
    <row r="161" ht="15" customHeight="1" s="26">
      <c r="A161" s="33" t="inlineStr">
        <is>
          <t>DL_saturday</t>
        </is>
      </c>
      <c r="B161" s="33" t="n">
        <v>60</v>
      </c>
      <c r="C161" s="34" t="inlineStr">
        <is>
          <t>21:48</t>
        </is>
      </c>
    </row>
    <row r="162" ht="15" customHeight="1" s="26">
      <c r="A162" s="31" t="inlineStr">
        <is>
          <t>DL_saturday</t>
        </is>
      </c>
      <c r="B162" s="31" t="n">
        <v>61</v>
      </c>
      <c r="C162" s="32" t="inlineStr">
        <is>
          <t>22:18</t>
        </is>
      </c>
    </row>
    <row r="163" ht="15" customHeight="1" s="26">
      <c r="A163" s="33" t="inlineStr">
        <is>
          <t>DL_saturday</t>
        </is>
      </c>
      <c r="B163" s="33" t="n">
        <v>62</v>
      </c>
      <c r="C163" s="34" t="inlineStr">
        <is>
          <t>22:48</t>
        </is>
      </c>
    </row>
    <row r="164" ht="15" customHeight="1" s="26">
      <c r="A164" s="31" t="inlineStr">
        <is>
          <t>DL_saturday</t>
        </is>
      </c>
      <c r="B164" s="31" t="n">
        <v>63</v>
      </c>
      <c r="C164" s="32" t="inlineStr">
        <is>
          <t>23:18</t>
        </is>
      </c>
    </row>
    <row r="165" ht="15" customHeight="1" s="26">
      <c r="A165" s="33" t="inlineStr">
        <is>
          <t>DL_saturday</t>
        </is>
      </c>
      <c r="B165" s="33" t="n">
        <v>64</v>
      </c>
      <c r="C165" s="34" t="inlineStr">
        <is>
          <t>23:48</t>
        </is>
      </c>
    </row>
    <row r="167" ht="18" customHeight="1" s="26">
      <c r="A167" s="29" t="inlineStr">
        <is>
          <t>DL_sunday   |   Domingos  → Lacroze</t>
        </is>
      </c>
    </row>
    <row r="168" ht="15" customHeight="1" s="26">
      <c r="A168" s="30" t="inlineStr">
        <is>
          <t>Variable</t>
        </is>
      </c>
      <c r="B168" s="30" t="inlineStr">
        <is>
          <t>Nº</t>
        </is>
      </c>
      <c r="C168" s="30" t="inlineStr">
        <is>
          <t>Horario</t>
        </is>
      </c>
    </row>
    <row r="169" ht="15" customHeight="1" s="26">
      <c r="A169" s="31" t="inlineStr">
        <is>
          <t>DL_sunday</t>
        </is>
      </c>
      <c r="B169" s="31" t="n">
        <v>1</v>
      </c>
      <c r="C169" s="32" t="inlineStr">
        <is>
          <t>00:01</t>
        </is>
      </c>
    </row>
    <row r="170" ht="15" customHeight="1" s="26">
      <c r="A170" s="33" t="inlineStr">
        <is>
          <t>DL_sunday</t>
        </is>
      </c>
      <c r="B170" s="33" t="n">
        <v>2</v>
      </c>
      <c r="C170" s="34" t="inlineStr">
        <is>
          <t>03:12</t>
        </is>
      </c>
    </row>
    <row r="171" ht="15" customHeight="1" s="26">
      <c r="A171" s="31" t="inlineStr">
        <is>
          <t>DL_sunday</t>
        </is>
      </c>
      <c r="B171" s="31" t="n">
        <v>3</v>
      </c>
      <c r="C171" s="32" t="inlineStr">
        <is>
          <t>04:15</t>
        </is>
      </c>
    </row>
    <row r="172" ht="15" customHeight="1" s="26">
      <c r="A172" s="33" t="inlineStr">
        <is>
          <t>DL_sunday</t>
        </is>
      </c>
      <c r="B172" s="33" t="n">
        <v>4</v>
      </c>
      <c r="C172" s="34" t="inlineStr">
        <is>
          <t>05:30</t>
        </is>
      </c>
    </row>
    <row r="173" ht="15" customHeight="1" s="26">
      <c r="A173" s="31" t="inlineStr">
        <is>
          <t>DL_sunday</t>
        </is>
      </c>
      <c r="B173" s="31" t="n">
        <v>5</v>
      </c>
      <c r="C173" s="32" t="inlineStr">
        <is>
          <t>06:20</t>
        </is>
      </c>
    </row>
    <row r="174" ht="15" customHeight="1" s="26">
      <c r="A174" s="33" t="inlineStr">
        <is>
          <t>DL_sunday</t>
        </is>
      </c>
      <c r="B174" s="33" t="n">
        <v>6</v>
      </c>
      <c r="C174" s="34" t="inlineStr">
        <is>
          <t>06:55</t>
        </is>
      </c>
    </row>
    <row r="175" ht="15" customHeight="1" s="26">
      <c r="A175" s="31" t="inlineStr">
        <is>
          <t>DL_sunday</t>
        </is>
      </c>
      <c r="B175" s="31" t="n">
        <v>7</v>
      </c>
      <c r="C175" s="32" t="inlineStr">
        <is>
          <t>07:25</t>
        </is>
      </c>
    </row>
    <row r="176" ht="15" customHeight="1" s="26">
      <c r="A176" s="33" t="inlineStr">
        <is>
          <t>DL_sunday</t>
        </is>
      </c>
      <c r="B176" s="33" t="n">
        <v>8</v>
      </c>
      <c r="C176" s="34" t="inlineStr">
        <is>
          <t>07:55</t>
        </is>
      </c>
    </row>
    <row r="177" ht="15" customHeight="1" s="26">
      <c r="A177" s="31" t="inlineStr">
        <is>
          <t>DL_sunday</t>
        </is>
      </c>
      <c r="B177" s="31" t="n">
        <v>9</v>
      </c>
      <c r="C177" s="32" t="inlineStr">
        <is>
          <t>08:25</t>
        </is>
      </c>
    </row>
    <row r="178" ht="15" customHeight="1" s="26">
      <c r="A178" s="33" t="inlineStr">
        <is>
          <t>DL_sunday</t>
        </is>
      </c>
      <c r="B178" s="33" t="n">
        <v>10</v>
      </c>
      <c r="C178" s="34" t="inlineStr">
        <is>
          <t>08:55</t>
        </is>
      </c>
    </row>
    <row r="179" ht="15" customHeight="1" s="26">
      <c r="A179" s="31" t="inlineStr">
        <is>
          <t>DL_sunday</t>
        </is>
      </c>
      <c r="B179" s="31" t="n">
        <v>11</v>
      </c>
      <c r="C179" s="32" t="inlineStr">
        <is>
          <t>09:25</t>
        </is>
      </c>
    </row>
    <row r="180" ht="15" customHeight="1" s="26">
      <c r="A180" s="33" t="inlineStr">
        <is>
          <t>DL_sunday</t>
        </is>
      </c>
      <c r="B180" s="33" t="n">
        <v>12</v>
      </c>
      <c r="C180" s="34" t="inlineStr">
        <is>
          <t>09:55</t>
        </is>
      </c>
    </row>
    <row r="181" ht="15" customHeight="1" s="26">
      <c r="A181" s="31" t="inlineStr">
        <is>
          <t>DL_sunday</t>
        </is>
      </c>
      <c r="B181" s="31" t="n">
        <v>13</v>
      </c>
      <c r="C181" s="32" t="inlineStr">
        <is>
          <t>10:25</t>
        </is>
      </c>
    </row>
    <row r="182" ht="15" customHeight="1" s="26">
      <c r="A182" s="33" t="inlineStr">
        <is>
          <t>DL_sunday</t>
        </is>
      </c>
      <c r="B182" s="33" t="n">
        <v>14</v>
      </c>
      <c r="C182" s="34" t="inlineStr">
        <is>
          <t>10:55</t>
        </is>
      </c>
    </row>
    <row r="183" ht="15" customHeight="1" s="26">
      <c r="A183" s="31" t="inlineStr">
        <is>
          <t>DL_sunday</t>
        </is>
      </c>
      <c r="B183" s="31" t="n">
        <v>15</v>
      </c>
      <c r="C183" s="32" t="inlineStr">
        <is>
          <t>11:25</t>
        </is>
      </c>
    </row>
    <row r="184" ht="15" customHeight="1" s="26">
      <c r="A184" s="33" t="inlineStr">
        <is>
          <t>DL_sunday</t>
        </is>
      </c>
      <c r="B184" s="33" t="n">
        <v>16</v>
      </c>
      <c r="C184" s="34" t="inlineStr">
        <is>
          <t>11:55</t>
        </is>
      </c>
    </row>
    <row r="185" ht="15" customHeight="1" s="26">
      <c r="A185" s="31" t="inlineStr">
        <is>
          <t>DL_sunday</t>
        </is>
      </c>
      <c r="B185" s="31" t="n">
        <v>17</v>
      </c>
      <c r="C185" s="32" t="inlineStr">
        <is>
          <t>12:25</t>
        </is>
      </c>
    </row>
    <row r="186" ht="15" customHeight="1" s="26">
      <c r="A186" s="33" t="inlineStr">
        <is>
          <t>DL_sunday</t>
        </is>
      </c>
      <c r="B186" s="33" t="n">
        <v>18</v>
      </c>
      <c r="C186" s="34" t="inlineStr">
        <is>
          <t>12:55</t>
        </is>
      </c>
    </row>
    <row r="187" ht="15" customHeight="1" s="26">
      <c r="A187" s="31" t="inlineStr">
        <is>
          <t>DL_sunday</t>
        </is>
      </c>
      <c r="B187" s="31" t="n">
        <v>19</v>
      </c>
      <c r="C187" s="32" t="inlineStr">
        <is>
          <t>13:25</t>
        </is>
      </c>
    </row>
    <row r="188" ht="15" customHeight="1" s="26">
      <c r="A188" s="33" t="inlineStr">
        <is>
          <t>DL_sunday</t>
        </is>
      </c>
      <c r="B188" s="33" t="n">
        <v>20</v>
      </c>
      <c r="C188" s="34" t="inlineStr">
        <is>
          <t>13:55</t>
        </is>
      </c>
    </row>
    <row r="189" ht="15" customHeight="1" s="26">
      <c r="A189" s="31" t="inlineStr">
        <is>
          <t>DL_sunday</t>
        </is>
      </c>
      <c r="B189" s="31" t="n">
        <v>21</v>
      </c>
      <c r="C189" s="32" t="inlineStr">
        <is>
          <t>14:25</t>
        </is>
      </c>
    </row>
    <row r="190" ht="15" customHeight="1" s="26">
      <c r="A190" s="33" t="inlineStr">
        <is>
          <t>DL_sunday</t>
        </is>
      </c>
      <c r="B190" s="33" t="n">
        <v>22</v>
      </c>
      <c r="C190" s="34" t="inlineStr">
        <is>
          <t>14:55</t>
        </is>
      </c>
    </row>
    <row r="191" ht="15" customHeight="1" s="26">
      <c r="A191" s="31" t="inlineStr">
        <is>
          <t>DL_sunday</t>
        </is>
      </c>
      <c r="B191" s="31" t="n">
        <v>23</v>
      </c>
      <c r="C191" s="32" t="inlineStr">
        <is>
          <t>15:25</t>
        </is>
      </c>
    </row>
    <row r="192" ht="15" customHeight="1" s="26">
      <c r="A192" s="33" t="inlineStr">
        <is>
          <t>DL_sunday</t>
        </is>
      </c>
      <c r="B192" s="33" t="n">
        <v>24</v>
      </c>
      <c r="C192" s="34" t="inlineStr">
        <is>
          <t>15:55</t>
        </is>
      </c>
    </row>
    <row r="193" ht="15" customHeight="1" s="26">
      <c r="A193" s="31" t="inlineStr">
        <is>
          <t>DL_sunday</t>
        </is>
      </c>
      <c r="B193" s="31" t="n">
        <v>25</v>
      </c>
      <c r="C193" s="32" t="inlineStr">
        <is>
          <t>16:25</t>
        </is>
      </c>
    </row>
    <row r="194" ht="15" customHeight="1" s="26">
      <c r="A194" s="33" t="inlineStr">
        <is>
          <t>DL_sunday</t>
        </is>
      </c>
      <c r="B194" s="33" t="n">
        <v>26</v>
      </c>
      <c r="C194" s="34" t="inlineStr">
        <is>
          <t>16:55</t>
        </is>
      </c>
    </row>
    <row r="195" ht="15" customHeight="1" s="26">
      <c r="A195" s="31" t="inlineStr">
        <is>
          <t>DL_sunday</t>
        </is>
      </c>
      <c r="B195" s="31" t="n">
        <v>27</v>
      </c>
      <c r="C195" s="32" t="inlineStr">
        <is>
          <t>17:25</t>
        </is>
      </c>
    </row>
    <row r="196" ht="15" customHeight="1" s="26">
      <c r="A196" s="33" t="inlineStr">
        <is>
          <t>DL_sunday</t>
        </is>
      </c>
      <c r="B196" s="33" t="n">
        <v>28</v>
      </c>
      <c r="C196" s="34" t="inlineStr">
        <is>
          <t>17:55</t>
        </is>
      </c>
    </row>
    <row r="197" ht="15" customHeight="1" s="26">
      <c r="A197" s="31" t="inlineStr">
        <is>
          <t>DL_sunday</t>
        </is>
      </c>
      <c r="B197" s="31" t="n">
        <v>29</v>
      </c>
      <c r="C197" s="32" t="inlineStr">
        <is>
          <t>18:25</t>
        </is>
      </c>
    </row>
    <row r="198" ht="15" customHeight="1" s="26">
      <c r="A198" s="33" t="inlineStr">
        <is>
          <t>DL_sunday</t>
        </is>
      </c>
      <c r="B198" s="33" t="n">
        <v>30</v>
      </c>
      <c r="C198" s="34" t="inlineStr">
        <is>
          <t>18:55</t>
        </is>
      </c>
    </row>
    <row r="199" ht="15" customHeight="1" s="26">
      <c r="A199" s="31" t="inlineStr">
        <is>
          <t>DL_sunday</t>
        </is>
      </c>
      <c r="B199" s="31" t="n">
        <v>31</v>
      </c>
      <c r="C199" s="32" t="inlineStr">
        <is>
          <t>19:25</t>
        </is>
      </c>
    </row>
    <row r="200" ht="15" customHeight="1" s="26">
      <c r="A200" s="33" t="inlineStr">
        <is>
          <t>DL_sunday</t>
        </is>
      </c>
      <c r="B200" s="33" t="n">
        <v>32</v>
      </c>
      <c r="C200" s="34" t="inlineStr">
        <is>
          <t>19:55</t>
        </is>
      </c>
    </row>
    <row r="201" ht="15" customHeight="1" s="26">
      <c r="A201" s="31" t="inlineStr">
        <is>
          <t>DL_sunday</t>
        </is>
      </c>
      <c r="B201" s="31" t="n">
        <v>33</v>
      </c>
      <c r="C201" s="32" t="inlineStr">
        <is>
          <t>20:25</t>
        </is>
      </c>
    </row>
    <row r="202" ht="15" customHeight="1" s="26">
      <c r="A202" s="33" t="inlineStr">
        <is>
          <t>DL_sunday</t>
        </is>
      </c>
      <c r="B202" s="33" t="n">
        <v>34</v>
      </c>
      <c r="C202" s="34" t="inlineStr">
        <is>
          <t>20:55</t>
        </is>
      </c>
    </row>
    <row r="203" ht="15" customHeight="1" s="26">
      <c r="A203" s="31" t="inlineStr">
        <is>
          <t>DL_sunday</t>
        </is>
      </c>
      <c r="B203" s="31" t="n">
        <v>35</v>
      </c>
      <c r="C203" s="32" t="inlineStr">
        <is>
          <t>21:25</t>
        </is>
      </c>
    </row>
    <row r="204" ht="15" customHeight="1" s="26">
      <c r="A204" s="33" t="inlineStr">
        <is>
          <t>DL_sunday</t>
        </is>
      </c>
      <c r="B204" s="33" t="n">
        <v>36</v>
      </c>
      <c r="C204" s="34" t="inlineStr">
        <is>
          <t>21:55</t>
        </is>
      </c>
    </row>
    <row r="205" ht="15" customHeight="1" s="26">
      <c r="A205" s="31" t="inlineStr">
        <is>
          <t>DL_sunday</t>
        </is>
      </c>
      <c r="B205" s="31" t="n">
        <v>37</v>
      </c>
      <c r="C205" s="32" t="inlineStr">
        <is>
          <t>22:25</t>
        </is>
      </c>
    </row>
    <row r="206" ht="15" customHeight="1" s="26">
      <c r="A206" s="33" t="inlineStr">
        <is>
          <t>DL_sunday</t>
        </is>
      </c>
      <c r="B206" s="33" t="n">
        <v>38</v>
      </c>
      <c r="C206" s="34" t="inlineStr">
        <is>
          <t>22:55</t>
        </is>
      </c>
    </row>
    <row r="207" ht="15" customHeight="1" s="26">
      <c r="A207" s="31" t="inlineStr">
        <is>
          <t>DL_sunday</t>
        </is>
      </c>
      <c r="B207" s="31" t="n">
        <v>39</v>
      </c>
      <c r="C207" s="32" t="inlineStr">
        <is>
          <t>23:35</t>
        </is>
      </c>
    </row>
    <row r="209" ht="18" customHeight="1" s="26">
      <c r="A209" s="29" t="inlineStr">
        <is>
          <t>DL_holiday   |   Feriados  → Lacroze</t>
        </is>
      </c>
    </row>
    <row r="210" ht="15" customHeight="1" s="26">
      <c r="A210" s="30" t="inlineStr">
        <is>
          <t>Variable</t>
        </is>
      </c>
      <c r="B210" s="30" t="inlineStr">
        <is>
          <t>Nº</t>
        </is>
      </c>
      <c r="C210" s="30" t="inlineStr">
        <is>
          <t>Horario</t>
        </is>
      </c>
    </row>
    <row r="211" ht="15" customHeight="1" s="26">
      <c r="A211" s="31" t="inlineStr">
        <is>
          <t>DL_holiday</t>
        </is>
      </c>
      <c r="B211" s="31" t="n">
        <v>1</v>
      </c>
      <c r="C211" s="32" t="inlineStr">
        <is>
          <t>03:12</t>
        </is>
      </c>
    </row>
    <row r="212" ht="15" customHeight="1" s="26">
      <c r="A212" s="33" t="inlineStr">
        <is>
          <t>DL_holiday</t>
        </is>
      </c>
      <c r="B212" s="33" t="n">
        <v>2</v>
      </c>
      <c r="C212" s="34" t="inlineStr">
        <is>
          <t>04:15</t>
        </is>
      </c>
    </row>
    <row r="213" ht="15" customHeight="1" s="26">
      <c r="A213" s="31" t="inlineStr">
        <is>
          <t>DL_holiday</t>
        </is>
      </c>
      <c r="B213" s="31" t="n">
        <v>3</v>
      </c>
      <c r="C213" s="32" t="inlineStr">
        <is>
          <t>05:30</t>
        </is>
      </c>
    </row>
    <row r="214" ht="15" customHeight="1" s="26">
      <c r="A214" s="33" t="inlineStr">
        <is>
          <t>DL_holiday</t>
        </is>
      </c>
      <c r="B214" s="33" t="n">
        <v>4</v>
      </c>
      <c r="C214" s="34" t="inlineStr">
        <is>
          <t>06:20</t>
        </is>
      </c>
    </row>
    <row r="215" ht="15" customHeight="1" s="26">
      <c r="A215" s="31" t="inlineStr">
        <is>
          <t>DL_holiday</t>
        </is>
      </c>
      <c r="B215" s="31" t="n">
        <v>5</v>
      </c>
      <c r="C215" s="32" t="inlineStr">
        <is>
          <t>06:55</t>
        </is>
      </c>
    </row>
    <row r="216" ht="15" customHeight="1" s="26">
      <c r="A216" s="33" t="inlineStr">
        <is>
          <t>DL_holiday</t>
        </is>
      </c>
      <c r="B216" s="33" t="n">
        <v>6</v>
      </c>
      <c r="C216" s="34" t="inlineStr">
        <is>
          <t>07:25</t>
        </is>
      </c>
    </row>
    <row r="217" ht="15" customHeight="1" s="26">
      <c r="A217" s="31" t="inlineStr">
        <is>
          <t>DL_holiday</t>
        </is>
      </c>
      <c r="B217" s="31" t="n">
        <v>7</v>
      </c>
      <c r="C217" s="32" t="inlineStr">
        <is>
          <t>07:55</t>
        </is>
      </c>
    </row>
    <row r="218" ht="15" customHeight="1" s="26">
      <c r="A218" s="33" t="inlineStr">
        <is>
          <t>DL_holiday</t>
        </is>
      </c>
      <c r="B218" s="33" t="n">
        <v>8</v>
      </c>
      <c r="C218" s="34" t="inlineStr">
        <is>
          <t>08:25</t>
        </is>
      </c>
    </row>
    <row r="219" ht="15" customHeight="1" s="26">
      <c r="A219" s="31" t="inlineStr">
        <is>
          <t>DL_holiday</t>
        </is>
      </c>
      <c r="B219" s="31" t="n">
        <v>9</v>
      </c>
      <c r="C219" s="32" t="inlineStr">
        <is>
          <t>08:55</t>
        </is>
      </c>
    </row>
    <row r="220" ht="15" customHeight="1" s="26">
      <c r="A220" s="33" t="inlineStr">
        <is>
          <t>DL_holiday</t>
        </is>
      </c>
      <c r="B220" s="33" t="n">
        <v>10</v>
      </c>
      <c r="C220" s="34" t="inlineStr">
        <is>
          <t>09:25</t>
        </is>
      </c>
    </row>
    <row r="221" ht="15" customHeight="1" s="26">
      <c r="A221" s="31" t="inlineStr">
        <is>
          <t>DL_holiday</t>
        </is>
      </c>
      <c r="B221" s="31" t="n">
        <v>11</v>
      </c>
      <c r="C221" s="32" t="inlineStr">
        <is>
          <t>09:55</t>
        </is>
      </c>
    </row>
    <row r="222" ht="15" customHeight="1" s="26">
      <c r="A222" s="33" t="inlineStr">
        <is>
          <t>DL_holiday</t>
        </is>
      </c>
      <c r="B222" s="33" t="n">
        <v>12</v>
      </c>
      <c r="C222" s="34" t="inlineStr">
        <is>
          <t>10:25</t>
        </is>
      </c>
    </row>
    <row r="223" ht="15" customHeight="1" s="26">
      <c r="A223" s="31" t="inlineStr">
        <is>
          <t>DL_holiday</t>
        </is>
      </c>
      <c r="B223" s="31" t="n">
        <v>13</v>
      </c>
      <c r="C223" s="32" t="inlineStr">
        <is>
          <t>10:55</t>
        </is>
      </c>
    </row>
    <row r="224" ht="15" customHeight="1" s="26">
      <c r="A224" s="33" t="inlineStr">
        <is>
          <t>DL_holiday</t>
        </is>
      </c>
      <c r="B224" s="33" t="n">
        <v>14</v>
      </c>
      <c r="C224" s="34" t="inlineStr">
        <is>
          <t>11:25</t>
        </is>
      </c>
    </row>
    <row r="225" ht="15" customHeight="1" s="26">
      <c r="A225" s="31" t="inlineStr">
        <is>
          <t>DL_holiday</t>
        </is>
      </c>
      <c r="B225" s="31" t="n">
        <v>15</v>
      </c>
      <c r="C225" s="32" t="inlineStr">
        <is>
          <t>11:55</t>
        </is>
      </c>
    </row>
    <row r="226" ht="15" customHeight="1" s="26">
      <c r="A226" s="33" t="inlineStr">
        <is>
          <t>DL_holiday</t>
        </is>
      </c>
      <c r="B226" s="33" t="n">
        <v>16</v>
      </c>
      <c r="C226" s="34" t="inlineStr">
        <is>
          <t>12:25</t>
        </is>
      </c>
    </row>
    <row r="227" ht="15" customHeight="1" s="26">
      <c r="A227" s="31" t="inlineStr">
        <is>
          <t>DL_holiday</t>
        </is>
      </c>
      <c r="B227" s="31" t="n">
        <v>17</v>
      </c>
      <c r="C227" s="32" t="inlineStr">
        <is>
          <t>12:55</t>
        </is>
      </c>
    </row>
    <row r="228" ht="15" customHeight="1" s="26">
      <c r="A228" s="33" t="inlineStr">
        <is>
          <t>DL_holiday</t>
        </is>
      </c>
      <c r="B228" s="33" t="n">
        <v>18</v>
      </c>
      <c r="C228" s="34" t="inlineStr">
        <is>
          <t>13:25</t>
        </is>
      </c>
    </row>
    <row r="229" ht="15" customHeight="1" s="26">
      <c r="A229" s="31" t="inlineStr">
        <is>
          <t>DL_holiday</t>
        </is>
      </c>
      <c r="B229" s="31" t="n">
        <v>19</v>
      </c>
      <c r="C229" s="32" t="inlineStr">
        <is>
          <t>13:55</t>
        </is>
      </c>
    </row>
    <row r="230" ht="15" customHeight="1" s="26">
      <c r="A230" s="33" t="inlineStr">
        <is>
          <t>DL_holiday</t>
        </is>
      </c>
      <c r="B230" s="33" t="n">
        <v>20</v>
      </c>
      <c r="C230" s="34" t="inlineStr">
        <is>
          <t>14:25</t>
        </is>
      </c>
    </row>
    <row r="231" ht="15" customHeight="1" s="26">
      <c r="A231" s="31" t="inlineStr">
        <is>
          <t>DL_holiday</t>
        </is>
      </c>
      <c r="B231" s="31" t="n">
        <v>21</v>
      </c>
      <c r="C231" s="32" t="inlineStr">
        <is>
          <t>14:55</t>
        </is>
      </c>
    </row>
    <row r="232" ht="15" customHeight="1" s="26">
      <c r="A232" s="33" t="inlineStr">
        <is>
          <t>DL_holiday</t>
        </is>
      </c>
      <c r="B232" s="33" t="n">
        <v>22</v>
      </c>
      <c r="C232" s="34" t="inlineStr">
        <is>
          <t>15:25</t>
        </is>
      </c>
    </row>
    <row r="233" ht="15" customHeight="1" s="26">
      <c r="A233" s="31" t="inlineStr">
        <is>
          <t>DL_holiday</t>
        </is>
      </c>
      <c r="B233" s="31" t="n">
        <v>23</v>
      </c>
      <c r="C233" s="32" t="inlineStr">
        <is>
          <t>15:55</t>
        </is>
      </c>
    </row>
    <row r="234" ht="15" customHeight="1" s="26">
      <c r="A234" s="33" t="inlineStr">
        <is>
          <t>DL_holiday</t>
        </is>
      </c>
      <c r="B234" s="33" t="n">
        <v>24</v>
      </c>
      <c r="C234" s="34" t="inlineStr">
        <is>
          <t>16:25</t>
        </is>
      </c>
    </row>
    <row r="235" ht="15" customHeight="1" s="26">
      <c r="A235" s="31" t="inlineStr">
        <is>
          <t>DL_holiday</t>
        </is>
      </c>
      <c r="B235" s="31" t="n">
        <v>25</v>
      </c>
      <c r="C235" s="32" t="inlineStr">
        <is>
          <t>16:55</t>
        </is>
      </c>
    </row>
    <row r="236" ht="15" customHeight="1" s="26">
      <c r="A236" s="33" t="inlineStr">
        <is>
          <t>DL_holiday</t>
        </is>
      </c>
      <c r="B236" s="33" t="n">
        <v>26</v>
      </c>
      <c r="C236" s="34" t="inlineStr">
        <is>
          <t>17:25</t>
        </is>
      </c>
    </row>
    <row r="237" ht="15" customHeight="1" s="26">
      <c r="A237" s="31" t="inlineStr">
        <is>
          <t>DL_holiday</t>
        </is>
      </c>
      <c r="B237" s="31" t="n">
        <v>27</v>
      </c>
      <c r="C237" s="32" t="inlineStr">
        <is>
          <t>17:55</t>
        </is>
      </c>
    </row>
    <row r="238" ht="15" customHeight="1" s="26">
      <c r="A238" s="33" t="inlineStr">
        <is>
          <t>DL_holiday</t>
        </is>
      </c>
      <c r="B238" s="33" t="n">
        <v>28</v>
      </c>
      <c r="C238" s="34" t="inlineStr">
        <is>
          <t>18:25</t>
        </is>
      </c>
    </row>
    <row r="239" ht="15" customHeight="1" s="26">
      <c r="A239" s="31" t="inlineStr">
        <is>
          <t>DL_holiday</t>
        </is>
      </c>
      <c r="B239" s="31" t="n">
        <v>29</v>
      </c>
      <c r="C239" s="32" t="inlineStr">
        <is>
          <t>18:55</t>
        </is>
      </c>
    </row>
    <row r="240" ht="15" customHeight="1" s="26">
      <c r="A240" s="33" t="inlineStr">
        <is>
          <t>DL_holiday</t>
        </is>
      </c>
      <c r="B240" s="33" t="n">
        <v>30</v>
      </c>
      <c r="C240" s="34" t="inlineStr">
        <is>
          <t>19:25</t>
        </is>
      </c>
    </row>
    <row r="241" ht="15" customHeight="1" s="26">
      <c r="A241" s="31" t="inlineStr">
        <is>
          <t>DL_holiday</t>
        </is>
      </c>
      <c r="B241" s="31" t="n">
        <v>31</v>
      </c>
      <c r="C241" s="32" t="inlineStr">
        <is>
          <t>19:55</t>
        </is>
      </c>
    </row>
    <row r="242" ht="15" customHeight="1" s="26">
      <c r="A242" s="33" t="inlineStr">
        <is>
          <t>DL_holiday</t>
        </is>
      </c>
      <c r="B242" s="33" t="n">
        <v>32</v>
      </c>
      <c r="C242" s="34" t="inlineStr">
        <is>
          <t>20:25</t>
        </is>
      </c>
    </row>
    <row r="243" ht="15" customHeight="1" s="26">
      <c r="A243" s="31" t="inlineStr">
        <is>
          <t>DL_holiday</t>
        </is>
      </c>
      <c r="B243" s="31" t="n">
        <v>33</v>
      </c>
      <c r="C243" s="32" t="inlineStr">
        <is>
          <t>20:55</t>
        </is>
      </c>
    </row>
    <row r="244" ht="15" customHeight="1" s="26">
      <c r="A244" s="33" t="inlineStr">
        <is>
          <t>DL_holiday</t>
        </is>
      </c>
      <c r="B244" s="33" t="n">
        <v>34</v>
      </c>
      <c r="C244" s="34" t="inlineStr">
        <is>
          <t>21:25</t>
        </is>
      </c>
    </row>
    <row r="245" ht="15" customHeight="1" s="26">
      <c r="A245" s="31" t="inlineStr">
        <is>
          <t>DL_holiday</t>
        </is>
      </c>
      <c r="B245" s="31" t="n">
        <v>35</v>
      </c>
      <c r="C245" s="32" t="inlineStr">
        <is>
          <t>21:55</t>
        </is>
      </c>
    </row>
    <row r="246" ht="15" customHeight="1" s="26">
      <c r="A246" s="33" t="inlineStr">
        <is>
          <t>DL_holiday</t>
        </is>
      </c>
      <c r="B246" s="33" t="n">
        <v>36</v>
      </c>
      <c r="C246" s="34" t="inlineStr">
        <is>
          <t>22:25</t>
        </is>
      </c>
    </row>
    <row r="247" ht="15" customHeight="1" s="26">
      <c r="A247" s="31" t="inlineStr">
        <is>
          <t>DL_holiday</t>
        </is>
      </c>
      <c r="B247" s="31" t="n">
        <v>37</v>
      </c>
      <c r="C247" s="32" t="inlineStr">
        <is>
          <t>22:55</t>
        </is>
      </c>
    </row>
    <row r="248" ht="15" customHeight="1" s="26">
      <c r="A248" s="33" t="inlineStr">
        <is>
          <t>DL_holiday</t>
        </is>
      </c>
      <c r="B248" s="33" t="n">
        <v>38</v>
      </c>
      <c r="C248" s="34" t="inlineStr">
        <is>
          <t>23:35</t>
        </is>
      </c>
    </row>
    <row r="250" ht="18" customHeight="1" s="26">
      <c r="A250" s="35" t="inlineStr">
        <is>
          <t>DLC_weekday   |   Lunes a Viernes  → Lemos</t>
        </is>
      </c>
    </row>
    <row r="251" ht="15" customHeight="1" s="26">
      <c r="A251" s="36" t="inlineStr">
        <is>
          <t>Variable</t>
        </is>
      </c>
      <c r="B251" s="36" t="inlineStr">
        <is>
          <t>Nº</t>
        </is>
      </c>
      <c r="C251" s="36" t="inlineStr">
        <is>
          <t>Horario</t>
        </is>
      </c>
    </row>
    <row r="252" ht="15" customHeight="1" s="26">
      <c r="A252" s="31" t="inlineStr">
        <is>
          <t>DLC_weekday</t>
        </is>
      </c>
      <c r="B252" s="31" t="n">
        <v>1</v>
      </c>
      <c r="C252" s="32" t="inlineStr">
        <is>
          <t>01:00</t>
        </is>
      </c>
    </row>
    <row r="253" ht="15" customHeight="1" s="26">
      <c r="A253" s="33" t="inlineStr">
        <is>
          <t>DLC_weekday</t>
        </is>
      </c>
      <c r="B253" s="33" t="n">
        <v>2</v>
      </c>
      <c r="C253" s="34" t="inlineStr">
        <is>
          <t>02:40</t>
        </is>
      </c>
    </row>
    <row r="254" ht="15" customHeight="1" s="26">
      <c r="A254" s="31" t="inlineStr">
        <is>
          <t>DLC_weekday</t>
        </is>
      </c>
      <c r="B254" s="31" t="n">
        <v>3</v>
      </c>
      <c r="C254" s="32" t="inlineStr">
        <is>
          <t>03:35</t>
        </is>
      </c>
    </row>
    <row r="255" ht="15" customHeight="1" s="26">
      <c r="A255" s="33" t="inlineStr">
        <is>
          <t>DLC_weekday</t>
        </is>
      </c>
      <c r="B255" s="33" t="n">
        <v>4</v>
      </c>
      <c r="C255" s="34" t="inlineStr">
        <is>
          <t>04:20</t>
        </is>
      </c>
    </row>
    <row r="256" ht="15" customHeight="1" s="26">
      <c r="A256" s="31" t="inlineStr">
        <is>
          <t>DLC_weekday</t>
        </is>
      </c>
      <c r="B256" s="31" t="n">
        <v>5</v>
      </c>
      <c r="C256" s="32" t="inlineStr">
        <is>
          <t>04:35</t>
        </is>
      </c>
    </row>
    <row r="257" ht="15" customHeight="1" s="26">
      <c r="A257" s="33" t="inlineStr">
        <is>
          <t>DLC_weekday</t>
        </is>
      </c>
      <c r="B257" s="33" t="n">
        <v>6</v>
      </c>
      <c r="C257" s="34" t="inlineStr">
        <is>
          <t>05:00</t>
        </is>
      </c>
    </row>
    <row r="258" ht="15" customHeight="1" s="26">
      <c r="A258" s="31" t="inlineStr">
        <is>
          <t>DLC_weekday</t>
        </is>
      </c>
      <c r="B258" s="31" t="n">
        <v>7</v>
      </c>
      <c r="C258" s="32" t="inlineStr">
        <is>
          <t>05:14</t>
        </is>
      </c>
    </row>
    <row r="259" ht="15" customHeight="1" s="26">
      <c r="A259" s="33" t="inlineStr">
        <is>
          <t>DLC_weekday</t>
        </is>
      </c>
      <c r="B259" s="33" t="n">
        <v>8</v>
      </c>
      <c r="C259" s="34" t="inlineStr">
        <is>
          <t>05:24</t>
        </is>
      </c>
    </row>
    <row r="260" ht="15" customHeight="1" s="26">
      <c r="A260" s="31" t="inlineStr">
        <is>
          <t>DLC_weekday</t>
        </is>
      </c>
      <c r="B260" s="31" t="n">
        <v>9</v>
      </c>
      <c r="C260" s="32" t="inlineStr">
        <is>
          <t>05:34</t>
        </is>
      </c>
    </row>
    <row r="261" ht="15" customHeight="1" s="26">
      <c r="A261" s="33" t="inlineStr">
        <is>
          <t>DLC_weekday</t>
        </is>
      </c>
      <c r="B261" s="33" t="n">
        <v>10</v>
      </c>
      <c r="C261" s="34" t="inlineStr">
        <is>
          <t>05:44</t>
        </is>
      </c>
    </row>
    <row r="262" ht="15" customHeight="1" s="26">
      <c r="A262" s="31" t="inlineStr">
        <is>
          <t>DLC_weekday</t>
        </is>
      </c>
      <c r="B262" s="31" t="n">
        <v>11</v>
      </c>
      <c r="C262" s="32" t="inlineStr">
        <is>
          <t>05:54</t>
        </is>
      </c>
    </row>
    <row r="263" ht="15" customHeight="1" s="26">
      <c r="A263" s="33" t="inlineStr">
        <is>
          <t>DLC_weekday</t>
        </is>
      </c>
      <c r="B263" s="33" t="n">
        <v>12</v>
      </c>
      <c r="C263" s="34" t="inlineStr">
        <is>
          <t>06:04</t>
        </is>
      </c>
    </row>
    <row r="264" ht="15" customHeight="1" s="26">
      <c r="A264" s="31" t="inlineStr">
        <is>
          <t>DLC_weekday</t>
        </is>
      </c>
      <c r="B264" s="31" t="n">
        <v>13</v>
      </c>
      <c r="C264" s="32" t="inlineStr">
        <is>
          <t>06:14</t>
        </is>
      </c>
    </row>
    <row r="265" ht="15" customHeight="1" s="26">
      <c r="A265" s="33" t="inlineStr">
        <is>
          <t>DLC_weekday</t>
        </is>
      </c>
      <c r="B265" s="33" t="n">
        <v>14</v>
      </c>
      <c r="C265" s="34" t="inlineStr">
        <is>
          <t>06:23</t>
        </is>
      </c>
    </row>
    <row r="266" ht="15" customHeight="1" s="26">
      <c r="A266" s="31" t="inlineStr">
        <is>
          <t>DLC_weekday</t>
        </is>
      </c>
      <c r="B266" s="31" t="n">
        <v>15</v>
      </c>
      <c r="C266" s="32" t="inlineStr">
        <is>
          <t>06:31</t>
        </is>
      </c>
    </row>
    <row r="267" ht="15" customHeight="1" s="26">
      <c r="A267" s="33" t="inlineStr">
        <is>
          <t>DLC_weekday</t>
        </is>
      </c>
      <c r="B267" s="33" t="n">
        <v>16</v>
      </c>
      <c r="C267" s="34" t="inlineStr">
        <is>
          <t>06:39</t>
        </is>
      </c>
    </row>
    <row r="268" ht="15" customHeight="1" s="26">
      <c r="A268" s="31" t="inlineStr">
        <is>
          <t>DLC_weekday</t>
        </is>
      </c>
      <c r="B268" s="31" t="n">
        <v>17</v>
      </c>
      <c r="C268" s="32" t="inlineStr">
        <is>
          <t>06:47</t>
        </is>
      </c>
    </row>
    <row r="269" ht="15" customHeight="1" s="26">
      <c r="A269" s="33" t="inlineStr">
        <is>
          <t>DLC_weekday</t>
        </is>
      </c>
      <c r="B269" s="33" t="n">
        <v>18</v>
      </c>
      <c r="C269" s="34" t="inlineStr">
        <is>
          <t>06:55</t>
        </is>
      </c>
    </row>
    <row r="270" ht="15" customHeight="1" s="26">
      <c r="A270" s="31" t="inlineStr">
        <is>
          <t>DLC_weekday</t>
        </is>
      </c>
      <c r="B270" s="31" t="n">
        <v>19</v>
      </c>
      <c r="C270" s="32" t="inlineStr">
        <is>
          <t>07:03</t>
        </is>
      </c>
    </row>
    <row r="271" ht="15" customHeight="1" s="26">
      <c r="A271" s="33" t="inlineStr">
        <is>
          <t>DLC_weekday</t>
        </is>
      </c>
      <c r="B271" s="33" t="n">
        <v>20</v>
      </c>
      <c r="C271" s="34" t="inlineStr">
        <is>
          <t>07:11</t>
        </is>
      </c>
    </row>
    <row r="272" ht="15" customHeight="1" s="26">
      <c r="A272" s="31" t="inlineStr">
        <is>
          <t>DLC_weekday</t>
        </is>
      </c>
      <c r="B272" s="31" t="n">
        <v>21</v>
      </c>
      <c r="C272" s="32" t="inlineStr">
        <is>
          <t>07:19</t>
        </is>
      </c>
    </row>
    <row r="273" ht="15" customHeight="1" s="26">
      <c r="A273" s="33" t="inlineStr">
        <is>
          <t>DLC_weekday</t>
        </is>
      </c>
      <c r="B273" s="33" t="n">
        <v>22</v>
      </c>
      <c r="C273" s="34" t="inlineStr">
        <is>
          <t>07:27</t>
        </is>
      </c>
    </row>
    <row r="274" ht="15" customHeight="1" s="26">
      <c r="A274" s="31" t="inlineStr">
        <is>
          <t>DLC_weekday</t>
        </is>
      </c>
      <c r="B274" s="31" t="n">
        <v>23</v>
      </c>
      <c r="C274" s="32" t="inlineStr">
        <is>
          <t>07:35</t>
        </is>
      </c>
    </row>
    <row r="275" ht="15" customHeight="1" s="26">
      <c r="A275" s="33" t="inlineStr">
        <is>
          <t>DLC_weekday</t>
        </is>
      </c>
      <c r="B275" s="33" t="n">
        <v>24</v>
      </c>
      <c r="C275" s="34" t="inlineStr">
        <is>
          <t>07:47</t>
        </is>
      </c>
    </row>
    <row r="276" ht="15" customHeight="1" s="26">
      <c r="A276" s="31" t="inlineStr">
        <is>
          <t>DLC_weekday</t>
        </is>
      </c>
      <c r="B276" s="31" t="n">
        <v>25</v>
      </c>
      <c r="C276" s="32" t="inlineStr">
        <is>
          <t>07:57</t>
        </is>
      </c>
    </row>
    <row r="277" ht="15" customHeight="1" s="26">
      <c r="A277" s="33" t="inlineStr">
        <is>
          <t>DLC_weekday</t>
        </is>
      </c>
      <c r="B277" s="33" t="n">
        <v>26</v>
      </c>
      <c r="C277" s="34" t="inlineStr">
        <is>
          <t>08:07</t>
        </is>
      </c>
    </row>
    <row r="278" ht="15" customHeight="1" s="26">
      <c r="A278" s="31" t="inlineStr">
        <is>
          <t>DLC_weekday</t>
        </is>
      </c>
      <c r="B278" s="31" t="n">
        <v>27</v>
      </c>
      <c r="C278" s="32" t="inlineStr">
        <is>
          <t>08:17</t>
        </is>
      </c>
    </row>
    <row r="279" ht="15" customHeight="1" s="26">
      <c r="A279" s="33" t="inlineStr">
        <is>
          <t>DLC_weekday</t>
        </is>
      </c>
      <c r="B279" s="33" t="n">
        <v>28</v>
      </c>
      <c r="C279" s="34" t="inlineStr">
        <is>
          <t>08:27</t>
        </is>
      </c>
    </row>
    <row r="280" ht="15" customHeight="1" s="26">
      <c r="A280" s="31" t="inlineStr">
        <is>
          <t>DLC_weekday</t>
        </is>
      </c>
      <c r="B280" s="31" t="n">
        <v>29</v>
      </c>
      <c r="C280" s="32" t="inlineStr">
        <is>
          <t>08:37</t>
        </is>
      </c>
    </row>
    <row r="281" ht="15" customHeight="1" s="26">
      <c r="A281" s="33" t="inlineStr">
        <is>
          <t>DLC_weekday</t>
        </is>
      </c>
      <c r="B281" s="33" t="n">
        <v>30</v>
      </c>
      <c r="C281" s="34" t="inlineStr">
        <is>
          <t>08:47</t>
        </is>
      </c>
    </row>
    <row r="282" ht="15" customHeight="1" s="26">
      <c r="A282" s="31" t="inlineStr">
        <is>
          <t>DLC_weekday</t>
        </is>
      </c>
      <c r="B282" s="31" t="n">
        <v>31</v>
      </c>
      <c r="C282" s="32" t="inlineStr">
        <is>
          <t>08:57</t>
        </is>
      </c>
    </row>
    <row r="283" ht="15" customHeight="1" s="26">
      <c r="A283" s="33" t="inlineStr">
        <is>
          <t>DLC_weekday</t>
        </is>
      </c>
      <c r="B283" s="33" t="n">
        <v>32</v>
      </c>
      <c r="C283" s="34" t="inlineStr">
        <is>
          <t>09:07</t>
        </is>
      </c>
    </row>
    <row r="284" ht="15" customHeight="1" s="26">
      <c r="A284" s="31" t="inlineStr">
        <is>
          <t>DLC_weekday</t>
        </is>
      </c>
      <c r="B284" s="31" t="n">
        <v>33</v>
      </c>
      <c r="C284" s="32" t="inlineStr">
        <is>
          <t>09:22</t>
        </is>
      </c>
    </row>
    <row r="285" ht="15" customHeight="1" s="26">
      <c r="A285" s="33" t="inlineStr">
        <is>
          <t>DLC_weekday</t>
        </is>
      </c>
      <c r="B285" s="33" t="n">
        <v>34</v>
      </c>
      <c r="C285" s="34" t="inlineStr">
        <is>
          <t>09:39</t>
        </is>
      </c>
    </row>
    <row r="286" ht="15" customHeight="1" s="26">
      <c r="A286" s="31" t="inlineStr">
        <is>
          <t>DLC_weekday</t>
        </is>
      </c>
      <c r="B286" s="31" t="n">
        <v>35</v>
      </c>
      <c r="C286" s="32" t="inlineStr">
        <is>
          <t>09:59</t>
        </is>
      </c>
    </row>
    <row r="287" ht="15" customHeight="1" s="26">
      <c r="A287" s="33" t="inlineStr">
        <is>
          <t>DLC_weekday</t>
        </is>
      </c>
      <c r="B287" s="33" t="n">
        <v>36</v>
      </c>
      <c r="C287" s="34" t="inlineStr">
        <is>
          <t>10:15</t>
        </is>
      </c>
    </row>
    <row r="288" ht="15" customHeight="1" s="26">
      <c r="A288" s="31" t="inlineStr">
        <is>
          <t>DLC_weekday</t>
        </is>
      </c>
      <c r="B288" s="31" t="n">
        <v>37</v>
      </c>
      <c r="C288" s="32" t="inlineStr">
        <is>
          <t>10:30</t>
        </is>
      </c>
    </row>
    <row r="289" ht="15" customHeight="1" s="26">
      <c r="A289" s="33" t="inlineStr">
        <is>
          <t>DLC_weekday</t>
        </is>
      </c>
      <c r="B289" s="33" t="n">
        <v>38</v>
      </c>
      <c r="C289" s="34" t="inlineStr">
        <is>
          <t>10:45</t>
        </is>
      </c>
    </row>
    <row r="290" ht="15" customHeight="1" s="26">
      <c r="A290" s="31" t="inlineStr">
        <is>
          <t>DLC_weekday</t>
        </is>
      </c>
      <c r="B290" s="31" t="n">
        <v>39</v>
      </c>
      <c r="C290" s="32" t="inlineStr">
        <is>
          <t>11:00</t>
        </is>
      </c>
    </row>
    <row r="291" ht="15" customHeight="1" s="26">
      <c r="A291" s="33" t="inlineStr">
        <is>
          <t>DLC_weekday</t>
        </is>
      </c>
      <c r="B291" s="33" t="n">
        <v>40</v>
      </c>
      <c r="C291" s="34" t="inlineStr">
        <is>
          <t>11:15</t>
        </is>
      </c>
    </row>
    <row r="292" ht="15" customHeight="1" s="26">
      <c r="A292" s="31" t="inlineStr">
        <is>
          <t>DLC_weekday</t>
        </is>
      </c>
      <c r="B292" s="31" t="n">
        <v>41</v>
      </c>
      <c r="C292" s="32" t="inlineStr">
        <is>
          <t>11:30</t>
        </is>
      </c>
    </row>
    <row r="293" ht="15" customHeight="1" s="26">
      <c r="A293" s="33" t="inlineStr">
        <is>
          <t>DLC_weekday</t>
        </is>
      </c>
      <c r="B293" s="33" t="n">
        <v>42</v>
      </c>
      <c r="C293" s="34" t="inlineStr">
        <is>
          <t>11:45</t>
        </is>
      </c>
    </row>
    <row r="294" ht="15" customHeight="1" s="26">
      <c r="A294" s="31" t="inlineStr">
        <is>
          <t>DLC_weekday</t>
        </is>
      </c>
      <c r="B294" s="31" t="n">
        <v>43</v>
      </c>
      <c r="C294" s="32" t="inlineStr">
        <is>
          <t>12:00</t>
        </is>
      </c>
    </row>
    <row r="295" ht="15" customHeight="1" s="26">
      <c r="A295" s="33" t="inlineStr">
        <is>
          <t>DLC_weekday</t>
        </is>
      </c>
      <c r="B295" s="33" t="n">
        <v>44</v>
      </c>
      <c r="C295" s="34" t="inlineStr">
        <is>
          <t>12:15</t>
        </is>
      </c>
    </row>
    <row r="296" ht="15" customHeight="1" s="26">
      <c r="A296" s="31" t="inlineStr">
        <is>
          <t>DLC_weekday</t>
        </is>
      </c>
      <c r="B296" s="31" t="n">
        <v>45</v>
      </c>
      <c r="C296" s="32" t="inlineStr">
        <is>
          <t>12:30</t>
        </is>
      </c>
    </row>
    <row r="297" ht="15" customHeight="1" s="26">
      <c r="A297" s="33" t="inlineStr">
        <is>
          <t>DLC_weekday</t>
        </is>
      </c>
      <c r="B297" s="33" t="n">
        <v>46</v>
      </c>
      <c r="C297" s="34" t="inlineStr">
        <is>
          <t>12:45</t>
        </is>
      </c>
    </row>
    <row r="298" ht="15" customHeight="1" s="26">
      <c r="A298" s="31" t="inlineStr">
        <is>
          <t>DLC_weekday</t>
        </is>
      </c>
      <c r="B298" s="31" t="n">
        <v>47</v>
      </c>
      <c r="C298" s="32" t="inlineStr">
        <is>
          <t>13:00</t>
        </is>
      </c>
    </row>
    <row r="299" ht="15" customHeight="1" s="26">
      <c r="A299" s="33" t="inlineStr">
        <is>
          <t>DLC_weekday</t>
        </is>
      </c>
      <c r="B299" s="33" t="n">
        <v>48</v>
      </c>
      <c r="C299" s="34" t="inlineStr">
        <is>
          <t>13:15</t>
        </is>
      </c>
    </row>
    <row r="300" ht="15" customHeight="1" s="26">
      <c r="A300" s="31" t="inlineStr">
        <is>
          <t>DLC_weekday</t>
        </is>
      </c>
      <c r="B300" s="31" t="n">
        <v>49</v>
      </c>
      <c r="C300" s="32" t="inlineStr">
        <is>
          <t>13:30</t>
        </is>
      </c>
    </row>
    <row r="301" ht="15" customHeight="1" s="26">
      <c r="A301" s="33" t="inlineStr">
        <is>
          <t>DLC_weekday</t>
        </is>
      </c>
      <c r="B301" s="33" t="n">
        <v>50</v>
      </c>
      <c r="C301" s="34" t="inlineStr">
        <is>
          <t>13:45</t>
        </is>
      </c>
    </row>
    <row r="302" ht="15" customHeight="1" s="26">
      <c r="A302" s="31" t="inlineStr">
        <is>
          <t>DLC_weekday</t>
        </is>
      </c>
      <c r="B302" s="31" t="n">
        <v>51</v>
      </c>
      <c r="C302" s="32" t="inlineStr">
        <is>
          <t>14:00</t>
        </is>
      </c>
    </row>
    <row r="303" ht="15" customHeight="1" s="26">
      <c r="A303" s="33" t="inlineStr">
        <is>
          <t>DLC_weekday</t>
        </is>
      </c>
      <c r="B303" s="33" t="n">
        <v>52</v>
      </c>
      <c r="C303" s="34" t="inlineStr">
        <is>
          <t>14:15</t>
        </is>
      </c>
    </row>
    <row r="304" ht="15" customHeight="1" s="26">
      <c r="A304" s="31" t="inlineStr">
        <is>
          <t>DLC_weekday</t>
        </is>
      </c>
      <c r="B304" s="31" t="n">
        <v>53</v>
      </c>
      <c r="C304" s="32" t="inlineStr">
        <is>
          <t>14:30</t>
        </is>
      </c>
    </row>
    <row r="305" ht="15" customHeight="1" s="26">
      <c r="A305" s="33" t="inlineStr">
        <is>
          <t>DLC_weekday</t>
        </is>
      </c>
      <c r="B305" s="33" t="n">
        <v>54</v>
      </c>
      <c r="C305" s="34" t="inlineStr">
        <is>
          <t>14:45</t>
        </is>
      </c>
    </row>
    <row r="306" ht="15" customHeight="1" s="26">
      <c r="A306" s="31" t="inlineStr">
        <is>
          <t>DLC_weekday</t>
        </is>
      </c>
      <c r="B306" s="31" t="n">
        <v>55</v>
      </c>
      <c r="C306" s="32" t="inlineStr">
        <is>
          <t>15:00</t>
        </is>
      </c>
    </row>
    <row r="307" ht="15" customHeight="1" s="26">
      <c r="A307" s="33" t="inlineStr">
        <is>
          <t>DLC_weekday</t>
        </is>
      </c>
      <c r="B307" s="33" t="n">
        <v>56</v>
      </c>
      <c r="C307" s="34" t="inlineStr">
        <is>
          <t>15:15</t>
        </is>
      </c>
    </row>
    <row r="308" ht="15" customHeight="1" s="26">
      <c r="A308" s="31" t="inlineStr">
        <is>
          <t>DLC_weekday</t>
        </is>
      </c>
      <c r="B308" s="31" t="n">
        <v>57</v>
      </c>
      <c r="C308" s="32" t="inlineStr">
        <is>
          <t>15:30</t>
        </is>
      </c>
    </row>
    <row r="309" ht="15" customHeight="1" s="26">
      <c r="A309" s="33" t="inlineStr">
        <is>
          <t>DLC_weekday</t>
        </is>
      </c>
      <c r="B309" s="33" t="n">
        <v>58</v>
      </c>
      <c r="C309" s="34" t="inlineStr">
        <is>
          <t>15:45</t>
        </is>
      </c>
    </row>
    <row r="310" ht="15" customHeight="1" s="26">
      <c r="A310" s="31" t="inlineStr">
        <is>
          <t>DLC_weekday</t>
        </is>
      </c>
      <c r="B310" s="31" t="n">
        <v>59</v>
      </c>
      <c r="C310" s="32" t="inlineStr">
        <is>
          <t>16:00</t>
        </is>
      </c>
    </row>
    <row r="311" ht="15" customHeight="1" s="26">
      <c r="A311" s="33" t="inlineStr">
        <is>
          <t>DLC_weekday</t>
        </is>
      </c>
      <c r="B311" s="33" t="n">
        <v>60</v>
      </c>
      <c r="C311" s="34" t="inlineStr">
        <is>
          <t>16:15</t>
        </is>
      </c>
    </row>
    <row r="312" ht="15" customHeight="1" s="26">
      <c r="A312" s="31" t="inlineStr">
        <is>
          <t>DLC_weekday</t>
        </is>
      </c>
      <c r="B312" s="31" t="n">
        <v>61</v>
      </c>
      <c r="C312" s="32" t="inlineStr">
        <is>
          <t>16:30</t>
        </is>
      </c>
    </row>
    <row r="313" ht="15" customHeight="1" s="26">
      <c r="A313" s="33" t="inlineStr">
        <is>
          <t>DLC_weekday</t>
        </is>
      </c>
      <c r="B313" s="33" t="n">
        <v>62</v>
      </c>
      <c r="C313" s="34" t="inlineStr">
        <is>
          <t>16:45</t>
        </is>
      </c>
    </row>
    <row r="314" ht="15" customHeight="1" s="26">
      <c r="A314" s="31" t="inlineStr">
        <is>
          <t>DLC_weekday</t>
        </is>
      </c>
      <c r="B314" s="31" t="n">
        <v>63</v>
      </c>
      <c r="C314" s="32" t="inlineStr">
        <is>
          <t>17:00</t>
        </is>
      </c>
    </row>
    <row r="315" ht="15" customHeight="1" s="26">
      <c r="A315" s="33" t="inlineStr">
        <is>
          <t>DLC_weekday</t>
        </is>
      </c>
      <c r="B315" s="33" t="n">
        <v>64</v>
      </c>
      <c r="C315" s="34" t="inlineStr">
        <is>
          <t>17:10</t>
        </is>
      </c>
    </row>
    <row r="316" ht="15" customHeight="1" s="26">
      <c r="A316" s="31" t="inlineStr">
        <is>
          <t>DLC_weekday</t>
        </is>
      </c>
      <c r="B316" s="31" t="n">
        <v>65</v>
      </c>
      <c r="C316" s="32" t="inlineStr">
        <is>
          <t>17:20</t>
        </is>
      </c>
    </row>
    <row r="317" ht="15" customHeight="1" s="26">
      <c r="A317" s="33" t="inlineStr">
        <is>
          <t>DLC_weekday</t>
        </is>
      </c>
      <c r="B317" s="33" t="n">
        <v>66</v>
      </c>
      <c r="C317" s="34" t="inlineStr">
        <is>
          <t>17:30</t>
        </is>
      </c>
    </row>
    <row r="318" ht="15" customHeight="1" s="26">
      <c r="A318" s="31" t="inlineStr">
        <is>
          <t>DLC_weekday</t>
        </is>
      </c>
      <c r="B318" s="31" t="n">
        <v>67</v>
      </c>
      <c r="C318" s="32" t="inlineStr">
        <is>
          <t>17:40</t>
        </is>
      </c>
    </row>
    <row r="319" ht="15" customHeight="1" s="26">
      <c r="A319" s="33" t="inlineStr">
        <is>
          <t>DLC_weekday</t>
        </is>
      </c>
      <c r="B319" s="33" t="n">
        <v>68</v>
      </c>
      <c r="C319" s="34" t="inlineStr">
        <is>
          <t>17:50</t>
        </is>
      </c>
    </row>
    <row r="320" ht="15" customHeight="1" s="26">
      <c r="A320" s="31" t="inlineStr">
        <is>
          <t>DLC_weekday</t>
        </is>
      </c>
      <c r="B320" s="31" t="n">
        <v>69</v>
      </c>
      <c r="C320" s="32" t="inlineStr">
        <is>
          <t>18:00</t>
        </is>
      </c>
    </row>
    <row r="321" ht="15" customHeight="1" s="26">
      <c r="A321" s="33" t="inlineStr">
        <is>
          <t>DLC_weekday</t>
        </is>
      </c>
      <c r="B321" s="33" t="n">
        <v>70</v>
      </c>
      <c r="C321" s="34" t="inlineStr">
        <is>
          <t>18:10</t>
        </is>
      </c>
    </row>
    <row r="322" ht="15" customHeight="1" s="26">
      <c r="A322" s="31" t="inlineStr">
        <is>
          <t>DLC_weekday</t>
        </is>
      </c>
      <c r="B322" s="31" t="n">
        <v>71</v>
      </c>
      <c r="C322" s="32" t="inlineStr">
        <is>
          <t>18:20</t>
        </is>
      </c>
    </row>
    <row r="323" ht="15" customHeight="1" s="26">
      <c r="A323" s="33" t="inlineStr">
        <is>
          <t>DLC_weekday</t>
        </is>
      </c>
      <c r="B323" s="33" t="n">
        <v>72</v>
      </c>
      <c r="C323" s="34" t="inlineStr">
        <is>
          <t>18:30</t>
        </is>
      </c>
    </row>
    <row r="324" ht="15" customHeight="1" s="26">
      <c r="A324" s="31" t="inlineStr">
        <is>
          <t>DLC_weekday</t>
        </is>
      </c>
      <c r="B324" s="31" t="n">
        <v>73</v>
      </c>
      <c r="C324" s="32" t="inlineStr">
        <is>
          <t>18:40</t>
        </is>
      </c>
    </row>
    <row r="325" ht="15" customHeight="1" s="26">
      <c r="A325" s="33" t="inlineStr">
        <is>
          <t>DLC_weekday</t>
        </is>
      </c>
      <c r="B325" s="33" t="n">
        <v>74</v>
      </c>
      <c r="C325" s="34" t="inlineStr">
        <is>
          <t>18:50</t>
        </is>
      </c>
    </row>
    <row r="326" ht="15" customHeight="1" s="26">
      <c r="A326" s="31" t="inlineStr">
        <is>
          <t>DLC_weekday</t>
        </is>
      </c>
      <c r="B326" s="31" t="n">
        <v>75</v>
      </c>
      <c r="C326" s="32" t="inlineStr">
        <is>
          <t>19:00</t>
        </is>
      </c>
    </row>
    <row r="327" ht="15" customHeight="1" s="26">
      <c r="A327" s="33" t="inlineStr">
        <is>
          <t>DLC_weekday</t>
        </is>
      </c>
      <c r="B327" s="33" t="n">
        <v>76</v>
      </c>
      <c r="C327" s="34" t="inlineStr">
        <is>
          <t>19:10</t>
        </is>
      </c>
    </row>
    <row r="328" ht="15" customHeight="1" s="26">
      <c r="A328" s="31" t="inlineStr">
        <is>
          <t>DLC_weekday</t>
        </is>
      </c>
      <c r="B328" s="31" t="n">
        <v>77</v>
      </c>
      <c r="C328" s="32" t="inlineStr">
        <is>
          <t>19:20</t>
        </is>
      </c>
    </row>
    <row r="329" ht="15" customHeight="1" s="26">
      <c r="A329" s="33" t="inlineStr">
        <is>
          <t>DLC_weekday</t>
        </is>
      </c>
      <c r="B329" s="33" t="n">
        <v>78</v>
      </c>
      <c r="C329" s="34" t="inlineStr">
        <is>
          <t>19:30</t>
        </is>
      </c>
    </row>
    <row r="330" ht="15" customHeight="1" s="26">
      <c r="A330" s="31" t="inlineStr">
        <is>
          <t>DLC_weekday</t>
        </is>
      </c>
      <c r="B330" s="31" t="n">
        <v>79</v>
      </c>
      <c r="C330" s="32" t="inlineStr">
        <is>
          <t>19:40</t>
        </is>
      </c>
    </row>
    <row r="331" ht="15" customHeight="1" s="26">
      <c r="A331" s="33" t="inlineStr">
        <is>
          <t>DLC_weekday</t>
        </is>
      </c>
      <c r="B331" s="33" t="n">
        <v>80</v>
      </c>
      <c r="C331" s="34" t="inlineStr">
        <is>
          <t>19:50</t>
        </is>
      </c>
    </row>
    <row r="332" ht="15" customHeight="1" s="26">
      <c r="A332" s="31" t="inlineStr">
        <is>
          <t>DLC_weekday</t>
        </is>
      </c>
      <c r="B332" s="31" t="n">
        <v>81</v>
      </c>
      <c r="C332" s="32" t="inlineStr">
        <is>
          <t>20:00</t>
        </is>
      </c>
    </row>
    <row r="333" ht="15" customHeight="1" s="26">
      <c r="A333" s="33" t="inlineStr">
        <is>
          <t>DLC_weekday</t>
        </is>
      </c>
      <c r="B333" s="33" t="n">
        <v>82</v>
      </c>
      <c r="C333" s="34" t="inlineStr">
        <is>
          <t>20:15</t>
        </is>
      </c>
    </row>
    <row r="334" ht="15" customHeight="1" s="26">
      <c r="A334" s="31" t="inlineStr">
        <is>
          <t>DLC_weekday</t>
        </is>
      </c>
      <c r="B334" s="31" t="n">
        <v>83</v>
      </c>
      <c r="C334" s="32" t="inlineStr">
        <is>
          <t>20:30</t>
        </is>
      </c>
    </row>
    <row r="335" ht="15" customHeight="1" s="26">
      <c r="A335" s="33" t="inlineStr">
        <is>
          <t>DLC_weekday</t>
        </is>
      </c>
      <c r="B335" s="33" t="n">
        <v>84</v>
      </c>
      <c r="C335" s="34" t="inlineStr">
        <is>
          <t>20:45</t>
        </is>
      </c>
    </row>
    <row r="336" ht="15" customHeight="1" s="26">
      <c r="A336" s="31" t="inlineStr">
        <is>
          <t>DLC_weekday</t>
        </is>
      </c>
      <c r="B336" s="31" t="n">
        <v>85</v>
      </c>
      <c r="C336" s="32" t="inlineStr">
        <is>
          <t>21:00</t>
        </is>
      </c>
    </row>
    <row r="337" ht="15" customHeight="1" s="26">
      <c r="A337" s="33" t="inlineStr">
        <is>
          <t>DLC_weekday</t>
        </is>
      </c>
      <c r="B337" s="33" t="n">
        <v>86</v>
      </c>
      <c r="C337" s="34" t="inlineStr">
        <is>
          <t>21:20</t>
        </is>
      </c>
    </row>
    <row r="338" ht="15" customHeight="1" s="26">
      <c r="A338" s="31" t="inlineStr">
        <is>
          <t>DLC_weekday</t>
        </is>
      </c>
      <c r="B338" s="31" t="n">
        <v>87</v>
      </c>
      <c r="C338" s="32" t="inlineStr">
        <is>
          <t>21:40</t>
        </is>
      </c>
    </row>
    <row r="339" ht="15" customHeight="1" s="26">
      <c r="A339" s="33" t="inlineStr">
        <is>
          <t>DLC_weekday</t>
        </is>
      </c>
      <c r="B339" s="33" t="n">
        <v>88</v>
      </c>
      <c r="C339" s="34" t="inlineStr">
        <is>
          <t>22:00</t>
        </is>
      </c>
    </row>
    <row r="340" ht="15" customHeight="1" s="26">
      <c r="A340" s="31" t="inlineStr">
        <is>
          <t>DLC_weekday</t>
        </is>
      </c>
      <c r="B340" s="31" t="n">
        <v>89</v>
      </c>
      <c r="C340" s="32" t="inlineStr">
        <is>
          <t>22:20</t>
        </is>
      </c>
    </row>
    <row r="341" ht="15" customHeight="1" s="26">
      <c r="A341" s="33" t="inlineStr">
        <is>
          <t>DLC_weekday</t>
        </is>
      </c>
      <c r="B341" s="33" t="n">
        <v>90</v>
      </c>
      <c r="C341" s="34" t="inlineStr">
        <is>
          <t>22:40</t>
        </is>
      </c>
    </row>
    <row r="342" ht="15" customHeight="1" s="26">
      <c r="A342" s="31" t="inlineStr">
        <is>
          <t>DLC_weekday</t>
        </is>
      </c>
      <c r="B342" s="31" t="n">
        <v>91</v>
      </c>
      <c r="C342" s="32" t="inlineStr">
        <is>
          <t>23:06</t>
        </is>
      </c>
    </row>
    <row r="343" ht="15" customHeight="1" s="26">
      <c r="A343" s="33" t="inlineStr">
        <is>
          <t>DLC_weekday</t>
        </is>
      </c>
      <c r="B343" s="33" t="n">
        <v>92</v>
      </c>
      <c r="C343" s="34" t="inlineStr">
        <is>
          <t>23:50</t>
        </is>
      </c>
    </row>
    <row r="345" ht="18" customHeight="1" s="26">
      <c r="A345" s="35" t="inlineStr">
        <is>
          <t>DLC_saturday   |   Sábados  → Lemos</t>
        </is>
      </c>
    </row>
    <row r="346" ht="15" customHeight="1" s="26">
      <c r="A346" s="36" t="inlineStr">
        <is>
          <t>Variable</t>
        </is>
      </c>
      <c r="B346" s="36" t="inlineStr">
        <is>
          <t>Nº</t>
        </is>
      </c>
      <c r="C346" s="36" t="inlineStr">
        <is>
          <t>Horario</t>
        </is>
      </c>
    </row>
    <row r="347" ht="15" customHeight="1" s="26">
      <c r="A347" s="31" t="inlineStr">
        <is>
          <t>DLC_saturday</t>
        </is>
      </c>
      <c r="B347" s="31" t="n">
        <v>1</v>
      </c>
      <c r="C347" s="32" t="inlineStr">
        <is>
          <t>01:00</t>
        </is>
      </c>
    </row>
    <row r="348" ht="15" customHeight="1" s="26">
      <c r="A348" s="33" t="inlineStr">
        <is>
          <t>DLC_saturday</t>
        </is>
      </c>
      <c r="B348" s="33" t="n">
        <v>2</v>
      </c>
      <c r="C348" s="34" t="inlineStr">
        <is>
          <t>02:40</t>
        </is>
      </c>
    </row>
    <row r="349" ht="15" customHeight="1" s="26">
      <c r="A349" s="31" t="inlineStr">
        <is>
          <t>DLC_saturday</t>
        </is>
      </c>
      <c r="B349" s="31" t="n">
        <v>3</v>
      </c>
      <c r="C349" s="32" t="inlineStr">
        <is>
          <t>03:35</t>
        </is>
      </c>
    </row>
    <row r="350" ht="15" customHeight="1" s="26">
      <c r="A350" s="33" t="inlineStr">
        <is>
          <t>DLC_saturday</t>
        </is>
      </c>
      <c r="B350" s="33" t="n">
        <v>4</v>
      </c>
      <c r="C350" s="34" t="inlineStr">
        <is>
          <t>04:40</t>
        </is>
      </c>
    </row>
    <row r="351" ht="15" customHeight="1" s="26">
      <c r="A351" s="31" t="inlineStr">
        <is>
          <t>DLC_saturday</t>
        </is>
      </c>
      <c r="B351" s="31" t="n">
        <v>5</v>
      </c>
      <c r="C351" s="32" t="inlineStr">
        <is>
          <t>05:00</t>
        </is>
      </c>
    </row>
    <row r="352" ht="15" customHeight="1" s="26">
      <c r="A352" s="33" t="inlineStr">
        <is>
          <t>DLC_saturday</t>
        </is>
      </c>
      <c r="B352" s="33" t="n">
        <v>6</v>
      </c>
      <c r="C352" s="34" t="inlineStr">
        <is>
          <t>05:20</t>
        </is>
      </c>
    </row>
    <row r="353" ht="15" customHeight="1" s="26">
      <c r="A353" s="31" t="inlineStr">
        <is>
          <t>DLC_saturday</t>
        </is>
      </c>
      <c r="B353" s="31" t="n">
        <v>7</v>
      </c>
      <c r="C353" s="32" t="inlineStr">
        <is>
          <t>05:40</t>
        </is>
      </c>
    </row>
    <row r="354" ht="15" customHeight="1" s="26">
      <c r="A354" s="33" t="inlineStr">
        <is>
          <t>DLC_saturday</t>
        </is>
      </c>
      <c r="B354" s="33" t="n">
        <v>8</v>
      </c>
      <c r="C354" s="34" t="inlineStr">
        <is>
          <t>06:00</t>
        </is>
      </c>
    </row>
    <row r="355" ht="15" customHeight="1" s="26">
      <c r="A355" s="31" t="inlineStr">
        <is>
          <t>DLC_saturday</t>
        </is>
      </c>
      <c r="B355" s="31" t="n">
        <v>9</v>
      </c>
      <c r="C355" s="32" t="inlineStr">
        <is>
          <t>06:15</t>
        </is>
      </c>
    </row>
    <row r="356" ht="15" customHeight="1" s="26">
      <c r="A356" s="33" t="inlineStr">
        <is>
          <t>DLC_saturday</t>
        </is>
      </c>
      <c r="B356" s="33" t="n">
        <v>10</v>
      </c>
      <c r="C356" s="34" t="inlineStr">
        <is>
          <t>06:30</t>
        </is>
      </c>
    </row>
    <row r="357" ht="15" customHeight="1" s="26">
      <c r="A357" s="31" t="inlineStr">
        <is>
          <t>DLC_saturday</t>
        </is>
      </c>
      <c r="B357" s="31" t="n">
        <v>11</v>
      </c>
      <c r="C357" s="32" t="inlineStr">
        <is>
          <t>06:45</t>
        </is>
      </c>
    </row>
    <row r="358" ht="15" customHeight="1" s="26">
      <c r="A358" s="33" t="inlineStr">
        <is>
          <t>DLC_saturday</t>
        </is>
      </c>
      <c r="B358" s="33" t="n">
        <v>12</v>
      </c>
      <c r="C358" s="34" t="inlineStr">
        <is>
          <t>07:00</t>
        </is>
      </c>
    </row>
    <row r="359" ht="15" customHeight="1" s="26">
      <c r="A359" s="31" t="inlineStr">
        <is>
          <t>DLC_saturday</t>
        </is>
      </c>
      <c r="B359" s="31" t="n">
        <v>13</v>
      </c>
      <c r="C359" s="32" t="inlineStr">
        <is>
          <t>07:15</t>
        </is>
      </c>
    </row>
    <row r="360" ht="15" customHeight="1" s="26">
      <c r="A360" s="33" t="inlineStr">
        <is>
          <t>DLC_saturday</t>
        </is>
      </c>
      <c r="B360" s="33" t="n">
        <v>14</v>
      </c>
      <c r="C360" s="34" t="inlineStr">
        <is>
          <t>07:30</t>
        </is>
      </c>
    </row>
    <row r="361" ht="15" customHeight="1" s="26">
      <c r="A361" s="31" t="inlineStr">
        <is>
          <t>DLC_saturday</t>
        </is>
      </c>
      <c r="B361" s="31" t="n">
        <v>15</v>
      </c>
      <c r="C361" s="32" t="inlineStr">
        <is>
          <t>07:45</t>
        </is>
      </c>
    </row>
    <row r="362" ht="15" customHeight="1" s="26">
      <c r="A362" s="33" t="inlineStr">
        <is>
          <t>DLC_saturday</t>
        </is>
      </c>
      <c r="B362" s="33" t="n">
        <v>16</v>
      </c>
      <c r="C362" s="34" t="inlineStr">
        <is>
          <t>08:00</t>
        </is>
      </c>
    </row>
    <row r="363" ht="15" customHeight="1" s="26">
      <c r="A363" s="31" t="inlineStr">
        <is>
          <t>DLC_saturday</t>
        </is>
      </c>
      <c r="B363" s="31" t="n">
        <v>17</v>
      </c>
      <c r="C363" s="32" t="inlineStr">
        <is>
          <t>08:15</t>
        </is>
      </c>
    </row>
    <row r="364" ht="15" customHeight="1" s="26">
      <c r="A364" s="33" t="inlineStr">
        <is>
          <t>DLC_saturday</t>
        </is>
      </c>
      <c r="B364" s="33" t="n">
        <v>18</v>
      </c>
      <c r="C364" s="34" t="inlineStr">
        <is>
          <t>08:30</t>
        </is>
      </c>
    </row>
    <row r="365" ht="15" customHeight="1" s="26">
      <c r="A365" s="31" t="inlineStr">
        <is>
          <t>DLC_saturday</t>
        </is>
      </c>
      <c r="B365" s="31" t="n">
        <v>19</v>
      </c>
      <c r="C365" s="32" t="inlineStr">
        <is>
          <t>08:45</t>
        </is>
      </c>
    </row>
    <row r="366" ht="15" customHeight="1" s="26">
      <c r="A366" s="33" t="inlineStr">
        <is>
          <t>DLC_saturday</t>
        </is>
      </c>
      <c r="B366" s="33" t="n">
        <v>20</v>
      </c>
      <c r="C366" s="34" t="inlineStr">
        <is>
          <t>09:00</t>
        </is>
      </c>
    </row>
    <row r="367" ht="15" customHeight="1" s="26">
      <c r="A367" s="31" t="inlineStr">
        <is>
          <t>DLC_saturday</t>
        </is>
      </c>
      <c r="B367" s="31" t="n">
        <v>21</v>
      </c>
      <c r="C367" s="32" t="inlineStr">
        <is>
          <t>09:15</t>
        </is>
      </c>
    </row>
    <row r="368" ht="15" customHeight="1" s="26">
      <c r="A368" s="33" t="inlineStr">
        <is>
          <t>DLC_saturday</t>
        </is>
      </c>
      <c r="B368" s="33" t="n">
        <v>22</v>
      </c>
      <c r="C368" s="34" t="inlineStr">
        <is>
          <t>09:30</t>
        </is>
      </c>
    </row>
    <row r="369" ht="15" customHeight="1" s="26">
      <c r="A369" s="31" t="inlineStr">
        <is>
          <t>DLC_saturday</t>
        </is>
      </c>
      <c r="B369" s="31" t="n">
        <v>23</v>
      </c>
      <c r="C369" s="32" t="inlineStr">
        <is>
          <t>09:45</t>
        </is>
      </c>
    </row>
    <row r="370" ht="15" customHeight="1" s="26">
      <c r="A370" s="33" t="inlineStr">
        <is>
          <t>DLC_saturday</t>
        </is>
      </c>
      <c r="B370" s="33" t="n">
        <v>24</v>
      </c>
      <c r="C370" s="34" t="inlineStr">
        <is>
          <t>10:00</t>
        </is>
      </c>
    </row>
    <row r="371" ht="15" customHeight="1" s="26">
      <c r="A371" s="31" t="inlineStr">
        <is>
          <t>DLC_saturday</t>
        </is>
      </c>
      <c r="B371" s="31" t="n">
        <v>25</v>
      </c>
      <c r="C371" s="32" t="inlineStr">
        <is>
          <t>10:15</t>
        </is>
      </c>
    </row>
    <row r="372" ht="15" customHeight="1" s="26">
      <c r="A372" s="33" t="inlineStr">
        <is>
          <t>DLC_saturday</t>
        </is>
      </c>
      <c r="B372" s="33" t="n">
        <v>26</v>
      </c>
      <c r="C372" s="34" t="inlineStr">
        <is>
          <t>10:30</t>
        </is>
      </c>
    </row>
    <row r="373" ht="15" customHeight="1" s="26">
      <c r="A373" s="31" t="inlineStr">
        <is>
          <t>DLC_saturday</t>
        </is>
      </c>
      <c r="B373" s="31" t="n">
        <v>27</v>
      </c>
      <c r="C373" s="32" t="inlineStr">
        <is>
          <t>10:45</t>
        </is>
      </c>
    </row>
    <row r="374" ht="15" customHeight="1" s="26">
      <c r="A374" s="33" t="inlineStr">
        <is>
          <t>DLC_saturday</t>
        </is>
      </c>
      <c r="B374" s="33" t="n">
        <v>28</v>
      </c>
      <c r="C374" s="34" t="inlineStr">
        <is>
          <t>11:00</t>
        </is>
      </c>
    </row>
    <row r="375" ht="15" customHeight="1" s="26">
      <c r="A375" s="31" t="inlineStr">
        <is>
          <t>DLC_saturday</t>
        </is>
      </c>
      <c r="B375" s="31" t="n">
        <v>29</v>
      </c>
      <c r="C375" s="32" t="inlineStr">
        <is>
          <t>11:15</t>
        </is>
      </c>
    </row>
    <row r="376" ht="15" customHeight="1" s="26">
      <c r="A376" s="33" t="inlineStr">
        <is>
          <t>DLC_saturday</t>
        </is>
      </c>
      <c r="B376" s="33" t="n">
        <v>30</v>
      </c>
      <c r="C376" s="34" t="inlineStr">
        <is>
          <t>11:30</t>
        </is>
      </c>
    </row>
    <row r="377" ht="15" customHeight="1" s="26">
      <c r="A377" s="31" t="inlineStr">
        <is>
          <t>DLC_saturday</t>
        </is>
      </c>
      <c r="B377" s="31" t="n">
        <v>31</v>
      </c>
      <c r="C377" s="32" t="inlineStr">
        <is>
          <t>11:45</t>
        </is>
      </c>
    </row>
    <row r="378" ht="15" customHeight="1" s="26">
      <c r="A378" s="33" t="inlineStr">
        <is>
          <t>DLC_saturday</t>
        </is>
      </c>
      <c r="B378" s="33" t="n">
        <v>32</v>
      </c>
      <c r="C378" s="34" t="inlineStr">
        <is>
          <t>12:00</t>
        </is>
      </c>
    </row>
    <row r="379" ht="15" customHeight="1" s="26">
      <c r="A379" s="31" t="inlineStr">
        <is>
          <t>DLC_saturday</t>
        </is>
      </c>
      <c r="B379" s="31" t="n">
        <v>33</v>
      </c>
      <c r="C379" s="32" t="inlineStr">
        <is>
          <t>12:20</t>
        </is>
      </c>
    </row>
    <row r="380" ht="15" customHeight="1" s="26">
      <c r="A380" s="33" t="inlineStr">
        <is>
          <t>DLC_saturday</t>
        </is>
      </c>
      <c r="B380" s="33" t="n">
        <v>34</v>
      </c>
      <c r="C380" s="34" t="inlineStr">
        <is>
          <t>12:40</t>
        </is>
      </c>
    </row>
    <row r="381" ht="15" customHeight="1" s="26">
      <c r="A381" s="31" t="inlineStr">
        <is>
          <t>DLC_saturday</t>
        </is>
      </c>
      <c r="B381" s="31" t="n">
        <v>35</v>
      </c>
      <c r="C381" s="32" t="inlineStr">
        <is>
          <t>13:00</t>
        </is>
      </c>
    </row>
    <row r="382" ht="15" customHeight="1" s="26">
      <c r="A382" s="33" t="inlineStr">
        <is>
          <t>DLC_saturday</t>
        </is>
      </c>
      <c r="B382" s="33" t="n">
        <v>36</v>
      </c>
      <c r="C382" s="34" t="inlineStr">
        <is>
          <t>13:20</t>
        </is>
      </c>
    </row>
    <row r="383" ht="15" customHeight="1" s="26">
      <c r="A383" s="31" t="inlineStr">
        <is>
          <t>DLC_saturday</t>
        </is>
      </c>
      <c r="B383" s="31" t="n">
        <v>37</v>
      </c>
      <c r="C383" s="32" t="inlineStr">
        <is>
          <t>13:40</t>
        </is>
      </c>
    </row>
    <row r="384" ht="15" customHeight="1" s="26">
      <c r="A384" s="33" t="inlineStr">
        <is>
          <t>DLC_saturday</t>
        </is>
      </c>
      <c r="B384" s="33" t="n">
        <v>38</v>
      </c>
      <c r="C384" s="34" t="inlineStr">
        <is>
          <t>14:00</t>
        </is>
      </c>
    </row>
    <row r="385" ht="15" customHeight="1" s="26">
      <c r="A385" s="31" t="inlineStr">
        <is>
          <t>DLC_saturday</t>
        </is>
      </c>
      <c r="B385" s="31" t="n">
        <v>39</v>
      </c>
      <c r="C385" s="32" t="inlineStr">
        <is>
          <t>14:20</t>
        </is>
      </c>
    </row>
    <row r="386" ht="15" customHeight="1" s="26">
      <c r="A386" s="33" t="inlineStr">
        <is>
          <t>DLC_saturday</t>
        </is>
      </c>
      <c r="B386" s="33" t="n">
        <v>40</v>
      </c>
      <c r="C386" s="34" t="inlineStr">
        <is>
          <t>14:40</t>
        </is>
      </c>
    </row>
    <row r="387" ht="15" customHeight="1" s="26">
      <c r="A387" s="31" t="inlineStr">
        <is>
          <t>DLC_saturday</t>
        </is>
      </c>
      <c r="B387" s="31" t="n">
        <v>41</v>
      </c>
      <c r="C387" s="32" t="inlineStr">
        <is>
          <t>15:00</t>
        </is>
      </c>
    </row>
    <row r="388" ht="15" customHeight="1" s="26">
      <c r="A388" s="33" t="inlineStr">
        <is>
          <t>DLC_saturday</t>
        </is>
      </c>
      <c r="B388" s="33" t="n">
        <v>42</v>
      </c>
      <c r="C388" s="34" t="inlineStr">
        <is>
          <t>15:20</t>
        </is>
      </c>
    </row>
    <row r="389" ht="15" customHeight="1" s="26">
      <c r="A389" s="31" t="inlineStr">
        <is>
          <t>DLC_saturday</t>
        </is>
      </c>
      <c r="B389" s="31" t="n">
        <v>43</v>
      </c>
      <c r="C389" s="32" t="inlineStr">
        <is>
          <t>15:40</t>
        </is>
      </c>
    </row>
    <row r="390" ht="15" customHeight="1" s="26">
      <c r="A390" s="33" t="inlineStr">
        <is>
          <t>DLC_saturday</t>
        </is>
      </c>
      <c r="B390" s="33" t="n">
        <v>44</v>
      </c>
      <c r="C390" s="34" t="inlineStr">
        <is>
          <t>16:00</t>
        </is>
      </c>
    </row>
    <row r="391" ht="15" customHeight="1" s="26">
      <c r="A391" s="31" t="inlineStr">
        <is>
          <t>DLC_saturday</t>
        </is>
      </c>
      <c r="B391" s="31" t="n">
        <v>45</v>
      </c>
      <c r="C391" s="32" t="inlineStr">
        <is>
          <t>16:20</t>
        </is>
      </c>
    </row>
    <row r="392" ht="15" customHeight="1" s="26">
      <c r="A392" s="33" t="inlineStr">
        <is>
          <t>DLC_saturday</t>
        </is>
      </c>
      <c r="B392" s="33" t="n">
        <v>46</v>
      </c>
      <c r="C392" s="34" t="inlineStr">
        <is>
          <t>16:40</t>
        </is>
      </c>
    </row>
    <row r="393" ht="15" customHeight="1" s="26">
      <c r="A393" s="31" t="inlineStr">
        <is>
          <t>DLC_saturday</t>
        </is>
      </c>
      <c r="B393" s="31" t="n">
        <v>47</v>
      </c>
      <c r="C393" s="32" t="inlineStr">
        <is>
          <t>17:00</t>
        </is>
      </c>
    </row>
    <row r="394" ht="15" customHeight="1" s="26">
      <c r="A394" s="33" t="inlineStr">
        <is>
          <t>DLC_saturday</t>
        </is>
      </c>
      <c r="B394" s="33" t="n">
        <v>48</v>
      </c>
      <c r="C394" s="34" t="inlineStr">
        <is>
          <t>17:20</t>
        </is>
      </c>
    </row>
    <row r="395" ht="15" customHeight="1" s="26">
      <c r="A395" s="31" t="inlineStr">
        <is>
          <t>DLC_saturday</t>
        </is>
      </c>
      <c r="B395" s="31" t="n">
        <v>49</v>
      </c>
      <c r="C395" s="32" t="inlineStr">
        <is>
          <t>17:40</t>
        </is>
      </c>
    </row>
    <row r="396" ht="15" customHeight="1" s="26">
      <c r="A396" s="33" t="inlineStr">
        <is>
          <t>DLC_saturday</t>
        </is>
      </c>
      <c r="B396" s="33" t="n">
        <v>50</v>
      </c>
      <c r="C396" s="34" t="inlineStr">
        <is>
          <t>18:00</t>
        </is>
      </c>
    </row>
    <row r="397" ht="15" customHeight="1" s="26">
      <c r="A397" s="31" t="inlineStr">
        <is>
          <t>DLC_saturday</t>
        </is>
      </c>
      <c r="B397" s="31" t="n">
        <v>51</v>
      </c>
      <c r="C397" s="32" t="inlineStr">
        <is>
          <t>18:20</t>
        </is>
      </c>
    </row>
    <row r="398" ht="15" customHeight="1" s="26">
      <c r="A398" s="33" t="inlineStr">
        <is>
          <t>DLC_saturday</t>
        </is>
      </c>
      <c r="B398" s="33" t="n">
        <v>52</v>
      </c>
      <c r="C398" s="34" t="inlineStr">
        <is>
          <t>18:40</t>
        </is>
      </c>
    </row>
    <row r="399" ht="15" customHeight="1" s="26">
      <c r="A399" s="31" t="inlineStr">
        <is>
          <t>DLC_saturday</t>
        </is>
      </c>
      <c r="B399" s="31" t="n">
        <v>53</v>
      </c>
      <c r="C399" s="32" t="inlineStr">
        <is>
          <t>19:00</t>
        </is>
      </c>
    </row>
    <row r="400" ht="15" customHeight="1" s="26">
      <c r="A400" s="33" t="inlineStr">
        <is>
          <t>DLC_saturday</t>
        </is>
      </c>
      <c r="B400" s="33" t="n">
        <v>54</v>
      </c>
      <c r="C400" s="34" t="inlineStr">
        <is>
          <t>19:20</t>
        </is>
      </c>
    </row>
    <row r="401" ht="15" customHeight="1" s="26">
      <c r="A401" s="31" t="inlineStr">
        <is>
          <t>DLC_saturday</t>
        </is>
      </c>
      <c r="B401" s="31" t="n">
        <v>55</v>
      </c>
      <c r="C401" s="32" t="inlineStr">
        <is>
          <t>19:40</t>
        </is>
      </c>
    </row>
    <row r="402" ht="15" customHeight="1" s="26">
      <c r="A402" s="33" t="inlineStr">
        <is>
          <t>DLC_saturday</t>
        </is>
      </c>
      <c r="B402" s="33" t="n">
        <v>56</v>
      </c>
      <c r="C402" s="34" t="inlineStr">
        <is>
          <t>20:00</t>
        </is>
      </c>
    </row>
    <row r="403" ht="15" customHeight="1" s="26">
      <c r="A403" s="31" t="inlineStr">
        <is>
          <t>DLC_saturday</t>
        </is>
      </c>
      <c r="B403" s="31" t="n">
        <v>57</v>
      </c>
      <c r="C403" s="32" t="inlineStr">
        <is>
          <t>20:23</t>
        </is>
      </c>
    </row>
    <row r="404" ht="15" customHeight="1" s="26">
      <c r="A404" s="33" t="inlineStr">
        <is>
          <t>DLC_saturday</t>
        </is>
      </c>
      <c r="B404" s="33" t="n">
        <v>58</v>
      </c>
      <c r="C404" s="34" t="inlineStr">
        <is>
          <t>20:53</t>
        </is>
      </c>
    </row>
    <row r="405" ht="15" customHeight="1" s="26">
      <c r="A405" s="31" t="inlineStr">
        <is>
          <t>DLC_saturday</t>
        </is>
      </c>
      <c r="B405" s="31" t="n">
        <v>59</v>
      </c>
      <c r="C405" s="32" t="inlineStr">
        <is>
          <t>21:23</t>
        </is>
      </c>
    </row>
    <row r="406" ht="15" customHeight="1" s="26">
      <c r="A406" s="33" t="inlineStr">
        <is>
          <t>DLC_saturday</t>
        </is>
      </c>
      <c r="B406" s="33" t="n">
        <v>60</v>
      </c>
      <c r="C406" s="34" t="inlineStr">
        <is>
          <t>21:53</t>
        </is>
      </c>
    </row>
    <row r="407" ht="15" customHeight="1" s="26">
      <c r="A407" s="31" t="inlineStr">
        <is>
          <t>DLC_saturday</t>
        </is>
      </c>
      <c r="B407" s="31" t="n">
        <v>61</v>
      </c>
      <c r="C407" s="32" t="inlineStr">
        <is>
          <t>22:23</t>
        </is>
      </c>
    </row>
    <row r="408" ht="15" customHeight="1" s="26">
      <c r="A408" s="33" t="inlineStr">
        <is>
          <t>DLC_saturday</t>
        </is>
      </c>
      <c r="B408" s="33" t="n">
        <v>62</v>
      </c>
      <c r="C408" s="34" t="inlineStr">
        <is>
          <t>22:53</t>
        </is>
      </c>
    </row>
    <row r="409" ht="15" customHeight="1" s="26">
      <c r="A409" s="31" t="inlineStr">
        <is>
          <t>DLC_saturday</t>
        </is>
      </c>
      <c r="B409" s="31" t="n">
        <v>63</v>
      </c>
      <c r="C409" s="32" t="inlineStr">
        <is>
          <t>23:11</t>
        </is>
      </c>
    </row>
    <row r="410" ht="15" customHeight="1" s="26">
      <c r="A410" s="33" t="inlineStr">
        <is>
          <t>DLC_saturday</t>
        </is>
      </c>
      <c r="B410" s="33" t="n">
        <v>64</v>
      </c>
      <c r="C410" s="34" t="inlineStr">
        <is>
          <t>23:50</t>
        </is>
      </c>
    </row>
    <row r="412" ht="18" customHeight="1" s="26">
      <c r="A412" s="35" t="inlineStr">
        <is>
          <t>DLC_sunday   |   Domingos  → Lemos</t>
        </is>
      </c>
    </row>
    <row r="413" ht="15" customHeight="1" s="26">
      <c r="A413" s="36" t="inlineStr">
        <is>
          <t>Variable</t>
        </is>
      </c>
      <c r="B413" s="36" t="inlineStr">
        <is>
          <t>Nº</t>
        </is>
      </c>
      <c r="C413" s="36" t="inlineStr">
        <is>
          <t>Horario</t>
        </is>
      </c>
    </row>
    <row r="414" ht="15" customHeight="1" s="26">
      <c r="A414" s="31" t="inlineStr">
        <is>
          <t>DLC_sunday</t>
        </is>
      </c>
      <c r="B414" s="31" t="n">
        <v>1</v>
      </c>
      <c r="C414" s="32" t="inlineStr">
        <is>
          <t>01:00</t>
        </is>
      </c>
    </row>
    <row r="415" ht="15" customHeight="1" s="26">
      <c r="A415" s="33" t="inlineStr">
        <is>
          <t>DLC_sunday</t>
        </is>
      </c>
      <c r="B415" s="33" t="n">
        <v>2</v>
      </c>
      <c r="C415" s="34" t="inlineStr">
        <is>
          <t>04:25</t>
        </is>
      </c>
    </row>
    <row r="416" ht="15" customHeight="1" s="26">
      <c r="A416" s="31" t="inlineStr">
        <is>
          <t>DLC_sunday</t>
        </is>
      </c>
      <c r="B416" s="31" t="n">
        <v>3</v>
      </c>
      <c r="C416" s="32" t="inlineStr">
        <is>
          <t>05:15</t>
        </is>
      </c>
    </row>
    <row r="417" ht="15" customHeight="1" s="26">
      <c r="A417" s="33" t="inlineStr">
        <is>
          <t>DLC_sunday</t>
        </is>
      </c>
      <c r="B417" s="33" t="n">
        <v>4</v>
      </c>
      <c r="C417" s="34" t="inlineStr">
        <is>
          <t>06:20</t>
        </is>
      </c>
    </row>
    <row r="418" ht="15" customHeight="1" s="26">
      <c r="A418" s="31" t="inlineStr">
        <is>
          <t>DLC_sunday</t>
        </is>
      </c>
      <c r="B418" s="31" t="n">
        <v>5</v>
      </c>
      <c r="C418" s="32" t="inlineStr">
        <is>
          <t>06:55</t>
        </is>
      </c>
    </row>
    <row r="419" ht="15" customHeight="1" s="26">
      <c r="A419" s="33" t="inlineStr">
        <is>
          <t>DLC_sunday</t>
        </is>
      </c>
      <c r="B419" s="33" t="n">
        <v>6</v>
      </c>
      <c r="C419" s="34" t="inlineStr">
        <is>
          <t>07:25</t>
        </is>
      </c>
    </row>
    <row r="420" ht="15" customHeight="1" s="26">
      <c r="A420" s="31" t="inlineStr">
        <is>
          <t>DLC_sunday</t>
        </is>
      </c>
      <c r="B420" s="31" t="n">
        <v>7</v>
      </c>
      <c r="C420" s="32" t="inlineStr">
        <is>
          <t>07:55</t>
        </is>
      </c>
    </row>
    <row r="421" ht="15" customHeight="1" s="26">
      <c r="A421" s="33" t="inlineStr">
        <is>
          <t>DLC_sunday</t>
        </is>
      </c>
      <c r="B421" s="33" t="n">
        <v>8</v>
      </c>
      <c r="C421" s="34" t="inlineStr">
        <is>
          <t>08:25</t>
        </is>
      </c>
    </row>
    <row r="422" ht="15" customHeight="1" s="26">
      <c r="A422" s="31" t="inlineStr">
        <is>
          <t>DLC_sunday</t>
        </is>
      </c>
      <c r="B422" s="31" t="n">
        <v>9</v>
      </c>
      <c r="C422" s="32" t="inlineStr">
        <is>
          <t>08:55</t>
        </is>
      </c>
    </row>
    <row r="423" ht="15" customHeight="1" s="26">
      <c r="A423" s="33" t="inlineStr">
        <is>
          <t>DLC_sunday</t>
        </is>
      </c>
      <c r="B423" s="33" t="n">
        <v>10</v>
      </c>
      <c r="C423" s="34" t="inlineStr">
        <is>
          <t>09:25</t>
        </is>
      </c>
    </row>
    <row r="424" ht="15" customHeight="1" s="26">
      <c r="A424" s="31" t="inlineStr">
        <is>
          <t>DLC_sunday</t>
        </is>
      </c>
      <c r="B424" s="31" t="n">
        <v>11</v>
      </c>
      <c r="C424" s="32" t="inlineStr">
        <is>
          <t>09:55</t>
        </is>
      </c>
    </row>
    <row r="425" ht="15" customHeight="1" s="26">
      <c r="A425" s="33" t="inlineStr">
        <is>
          <t>DLC_sunday</t>
        </is>
      </c>
      <c r="B425" s="33" t="n">
        <v>12</v>
      </c>
      <c r="C425" s="34" t="inlineStr">
        <is>
          <t>10:25</t>
        </is>
      </c>
    </row>
    <row r="426" ht="15" customHeight="1" s="26">
      <c r="A426" s="31" t="inlineStr">
        <is>
          <t>DLC_sunday</t>
        </is>
      </c>
      <c r="B426" s="31" t="n">
        <v>13</v>
      </c>
      <c r="C426" s="32" t="inlineStr">
        <is>
          <t>10:55</t>
        </is>
      </c>
    </row>
    <row r="427" ht="15" customHeight="1" s="26">
      <c r="A427" s="33" t="inlineStr">
        <is>
          <t>DLC_sunday</t>
        </is>
      </c>
      <c r="B427" s="33" t="n">
        <v>14</v>
      </c>
      <c r="C427" s="34" t="inlineStr">
        <is>
          <t>11:25</t>
        </is>
      </c>
    </row>
    <row r="428" ht="15" customHeight="1" s="26">
      <c r="A428" s="31" t="inlineStr">
        <is>
          <t>DLC_sunday</t>
        </is>
      </c>
      <c r="B428" s="31" t="n">
        <v>15</v>
      </c>
      <c r="C428" s="32" t="inlineStr">
        <is>
          <t>11:55</t>
        </is>
      </c>
    </row>
    <row r="429" ht="15" customHeight="1" s="26">
      <c r="A429" s="33" t="inlineStr">
        <is>
          <t>DLC_sunday</t>
        </is>
      </c>
      <c r="B429" s="33" t="n">
        <v>16</v>
      </c>
      <c r="C429" s="34" t="inlineStr">
        <is>
          <t>12:25</t>
        </is>
      </c>
    </row>
    <row r="430" ht="15" customHeight="1" s="26">
      <c r="A430" s="31" t="inlineStr">
        <is>
          <t>DLC_sunday</t>
        </is>
      </c>
      <c r="B430" s="31" t="n">
        <v>17</v>
      </c>
      <c r="C430" s="32" t="inlineStr">
        <is>
          <t>12:55</t>
        </is>
      </c>
    </row>
    <row r="431" ht="15" customHeight="1" s="26">
      <c r="A431" s="33" t="inlineStr">
        <is>
          <t>DLC_sunday</t>
        </is>
      </c>
      <c r="B431" s="33" t="n">
        <v>18</v>
      </c>
      <c r="C431" s="34" t="inlineStr">
        <is>
          <t>13:25</t>
        </is>
      </c>
    </row>
    <row r="432" ht="15" customHeight="1" s="26">
      <c r="A432" s="31" t="inlineStr">
        <is>
          <t>DLC_sunday</t>
        </is>
      </c>
      <c r="B432" s="31" t="n">
        <v>19</v>
      </c>
      <c r="C432" s="32" t="inlineStr">
        <is>
          <t>13:55</t>
        </is>
      </c>
    </row>
    <row r="433" ht="15" customHeight="1" s="26">
      <c r="A433" s="33" t="inlineStr">
        <is>
          <t>DLC_sunday</t>
        </is>
      </c>
      <c r="B433" s="33" t="n">
        <v>20</v>
      </c>
      <c r="C433" s="34" t="inlineStr">
        <is>
          <t>14:25</t>
        </is>
      </c>
    </row>
    <row r="434" ht="15" customHeight="1" s="26">
      <c r="A434" s="31" t="inlineStr">
        <is>
          <t>DLC_sunday</t>
        </is>
      </c>
      <c r="B434" s="31" t="n">
        <v>21</v>
      </c>
      <c r="C434" s="32" t="inlineStr">
        <is>
          <t>14:55</t>
        </is>
      </c>
    </row>
    <row r="435" ht="15" customHeight="1" s="26">
      <c r="A435" s="33" t="inlineStr">
        <is>
          <t>DLC_sunday</t>
        </is>
      </c>
      <c r="B435" s="33" t="n">
        <v>22</v>
      </c>
      <c r="C435" s="34" t="inlineStr">
        <is>
          <t>15:25</t>
        </is>
      </c>
    </row>
    <row r="436" ht="15" customHeight="1" s="26">
      <c r="A436" s="31" t="inlineStr">
        <is>
          <t>DLC_sunday</t>
        </is>
      </c>
      <c r="B436" s="31" t="n">
        <v>23</v>
      </c>
      <c r="C436" s="32" t="inlineStr">
        <is>
          <t>15:55</t>
        </is>
      </c>
    </row>
    <row r="437" ht="15" customHeight="1" s="26">
      <c r="A437" s="33" t="inlineStr">
        <is>
          <t>DLC_sunday</t>
        </is>
      </c>
      <c r="B437" s="33" t="n">
        <v>24</v>
      </c>
      <c r="C437" s="34" t="inlineStr">
        <is>
          <t>16:25</t>
        </is>
      </c>
    </row>
    <row r="438" ht="15" customHeight="1" s="26">
      <c r="A438" s="31" t="inlineStr">
        <is>
          <t>DLC_sunday</t>
        </is>
      </c>
      <c r="B438" s="31" t="n">
        <v>25</v>
      </c>
      <c r="C438" s="32" t="inlineStr">
        <is>
          <t>16:55</t>
        </is>
      </c>
    </row>
    <row r="439" ht="15" customHeight="1" s="26">
      <c r="A439" s="33" t="inlineStr">
        <is>
          <t>DLC_sunday</t>
        </is>
      </c>
      <c r="B439" s="33" t="n">
        <v>26</v>
      </c>
      <c r="C439" s="34" t="inlineStr">
        <is>
          <t>17:25</t>
        </is>
      </c>
    </row>
    <row r="440" ht="15" customHeight="1" s="26">
      <c r="A440" s="31" t="inlineStr">
        <is>
          <t>DLC_sunday</t>
        </is>
      </c>
      <c r="B440" s="31" t="n">
        <v>27</v>
      </c>
      <c r="C440" s="32" t="inlineStr">
        <is>
          <t>17:55</t>
        </is>
      </c>
    </row>
    <row r="441" ht="15" customHeight="1" s="26">
      <c r="A441" s="33" t="inlineStr">
        <is>
          <t>DLC_sunday</t>
        </is>
      </c>
      <c r="B441" s="33" t="n">
        <v>28</v>
      </c>
      <c r="C441" s="34" t="inlineStr">
        <is>
          <t>18:25</t>
        </is>
      </c>
    </row>
    <row r="442" ht="15" customHeight="1" s="26">
      <c r="A442" s="31" t="inlineStr">
        <is>
          <t>DLC_sunday</t>
        </is>
      </c>
      <c r="B442" s="31" t="n">
        <v>29</v>
      </c>
      <c r="C442" s="32" t="inlineStr">
        <is>
          <t>18:55</t>
        </is>
      </c>
    </row>
    <row r="443" ht="15" customHeight="1" s="26">
      <c r="A443" s="33" t="inlineStr">
        <is>
          <t>DLC_sunday</t>
        </is>
      </c>
      <c r="B443" s="33" t="n">
        <v>30</v>
      </c>
      <c r="C443" s="34" t="inlineStr">
        <is>
          <t>19:25</t>
        </is>
      </c>
    </row>
    <row r="444" ht="15" customHeight="1" s="26">
      <c r="A444" s="31" t="inlineStr">
        <is>
          <t>DLC_sunday</t>
        </is>
      </c>
      <c r="B444" s="31" t="n">
        <v>31</v>
      </c>
      <c r="C444" s="32" t="inlineStr">
        <is>
          <t>19:55</t>
        </is>
      </c>
    </row>
    <row r="445" ht="15" customHeight="1" s="26">
      <c r="A445" s="33" t="inlineStr">
        <is>
          <t>DLC_sunday</t>
        </is>
      </c>
      <c r="B445" s="33" t="n">
        <v>32</v>
      </c>
      <c r="C445" s="34" t="inlineStr">
        <is>
          <t>20:25</t>
        </is>
      </c>
    </row>
    <row r="446" ht="15" customHeight="1" s="26">
      <c r="A446" s="31" t="inlineStr">
        <is>
          <t>DLC_sunday</t>
        </is>
      </c>
      <c r="B446" s="31" t="n">
        <v>33</v>
      </c>
      <c r="C446" s="32" t="inlineStr">
        <is>
          <t>20:55</t>
        </is>
      </c>
    </row>
    <row r="447" ht="15" customHeight="1" s="26">
      <c r="A447" s="33" t="inlineStr">
        <is>
          <t>DLC_sunday</t>
        </is>
      </c>
      <c r="B447" s="33" t="n">
        <v>34</v>
      </c>
      <c r="C447" s="34" t="inlineStr">
        <is>
          <t>21:25</t>
        </is>
      </c>
    </row>
    <row r="448" ht="15" customHeight="1" s="26">
      <c r="A448" s="31" t="inlineStr">
        <is>
          <t>DLC_sunday</t>
        </is>
      </c>
      <c r="B448" s="31" t="n">
        <v>35</v>
      </c>
      <c r="C448" s="32" t="inlineStr">
        <is>
          <t>21:55</t>
        </is>
      </c>
    </row>
    <row r="449" ht="15" customHeight="1" s="26">
      <c r="A449" s="33" t="inlineStr">
        <is>
          <t>DLC_sunday</t>
        </is>
      </c>
      <c r="B449" s="33" t="n">
        <v>36</v>
      </c>
      <c r="C449" s="34" t="inlineStr">
        <is>
          <t>22:25</t>
        </is>
      </c>
    </row>
    <row r="450" ht="15" customHeight="1" s="26">
      <c r="A450" s="31" t="inlineStr">
        <is>
          <t>DLC_sunday</t>
        </is>
      </c>
      <c r="B450" s="31" t="n">
        <v>37</v>
      </c>
      <c r="C450" s="32" t="inlineStr">
        <is>
          <t>22:55</t>
        </is>
      </c>
    </row>
    <row r="451" ht="15" customHeight="1" s="26">
      <c r="A451" s="33" t="inlineStr">
        <is>
          <t>DLC_sunday</t>
        </is>
      </c>
      <c r="B451" s="33" t="n">
        <v>38</v>
      </c>
      <c r="C451" s="34" t="inlineStr">
        <is>
          <t>23:50</t>
        </is>
      </c>
    </row>
    <row r="453" ht="18" customHeight="1" s="26">
      <c r="A453" s="35" t="inlineStr">
        <is>
          <t>DLC_holiday   |   Feriados  → Lemos</t>
        </is>
      </c>
    </row>
    <row r="454" ht="15" customHeight="1" s="26">
      <c r="A454" s="36" t="inlineStr">
        <is>
          <t>Variable</t>
        </is>
      </c>
      <c r="B454" s="36" t="inlineStr">
        <is>
          <t>Nº</t>
        </is>
      </c>
      <c r="C454" s="36" t="inlineStr">
        <is>
          <t>Horario</t>
        </is>
      </c>
    </row>
    <row r="455" ht="15" customHeight="1" s="26">
      <c r="A455" s="31" t="inlineStr">
        <is>
          <t>DLC_holiday</t>
        </is>
      </c>
      <c r="B455" s="31" t="n">
        <v>1</v>
      </c>
      <c r="C455" s="32" t="inlineStr">
        <is>
          <t>01:00</t>
        </is>
      </c>
    </row>
    <row r="456" ht="15" customHeight="1" s="26">
      <c r="A456" s="33" t="inlineStr">
        <is>
          <t>DLC_holiday</t>
        </is>
      </c>
      <c r="B456" s="33" t="n">
        <v>2</v>
      </c>
      <c r="C456" s="34" t="inlineStr">
        <is>
          <t>04:25</t>
        </is>
      </c>
    </row>
    <row r="457" ht="15" customHeight="1" s="26">
      <c r="A457" s="31" t="inlineStr">
        <is>
          <t>DLC_holiday</t>
        </is>
      </c>
      <c r="B457" s="31" t="n">
        <v>3</v>
      </c>
      <c r="C457" s="32" t="inlineStr">
        <is>
          <t>05:15</t>
        </is>
      </c>
    </row>
    <row r="458" ht="15" customHeight="1" s="26">
      <c r="A458" s="33" t="inlineStr">
        <is>
          <t>DLC_holiday</t>
        </is>
      </c>
      <c r="B458" s="33" t="n">
        <v>4</v>
      </c>
      <c r="C458" s="34" t="inlineStr">
        <is>
          <t>06:20</t>
        </is>
      </c>
    </row>
    <row r="459" ht="15" customHeight="1" s="26">
      <c r="A459" s="31" t="inlineStr">
        <is>
          <t>DLC_holiday</t>
        </is>
      </c>
      <c r="B459" s="31" t="n">
        <v>5</v>
      </c>
      <c r="C459" s="32" t="inlineStr">
        <is>
          <t>06:55</t>
        </is>
      </c>
    </row>
    <row r="460" ht="15" customHeight="1" s="26">
      <c r="A460" s="33" t="inlineStr">
        <is>
          <t>DLC_holiday</t>
        </is>
      </c>
      <c r="B460" s="33" t="n">
        <v>6</v>
      </c>
      <c r="C460" s="34" t="inlineStr">
        <is>
          <t>07:25</t>
        </is>
      </c>
    </row>
    <row r="461" ht="15" customHeight="1" s="26">
      <c r="A461" s="31" t="inlineStr">
        <is>
          <t>DLC_holiday</t>
        </is>
      </c>
      <c r="B461" s="31" t="n">
        <v>7</v>
      </c>
      <c r="C461" s="32" t="inlineStr">
        <is>
          <t>07:55</t>
        </is>
      </c>
    </row>
    <row r="462" ht="15" customHeight="1" s="26">
      <c r="A462" s="33" t="inlineStr">
        <is>
          <t>DLC_holiday</t>
        </is>
      </c>
      <c r="B462" s="33" t="n">
        <v>8</v>
      </c>
      <c r="C462" s="34" t="inlineStr">
        <is>
          <t>08:25</t>
        </is>
      </c>
    </row>
    <row r="463" ht="15" customHeight="1" s="26">
      <c r="A463" s="31" t="inlineStr">
        <is>
          <t>DLC_holiday</t>
        </is>
      </c>
      <c r="B463" s="31" t="n">
        <v>9</v>
      </c>
      <c r="C463" s="32" t="inlineStr">
        <is>
          <t>08:55</t>
        </is>
      </c>
    </row>
    <row r="464" ht="15" customHeight="1" s="26">
      <c r="A464" s="33" t="inlineStr">
        <is>
          <t>DLC_holiday</t>
        </is>
      </c>
      <c r="B464" s="33" t="n">
        <v>10</v>
      </c>
      <c r="C464" s="34" t="inlineStr">
        <is>
          <t>09:25</t>
        </is>
      </c>
    </row>
    <row r="465" ht="15" customHeight="1" s="26">
      <c r="A465" s="31" t="inlineStr">
        <is>
          <t>DLC_holiday</t>
        </is>
      </c>
      <c r="B465" s="31" t="n">
        <v>11</v>
      </c>
      <c r="C465" s="32" t="inlineStr">
        <is>
          <t>09:55</t>
        </is>
      </c>
    </row>
    <row r="466" ht="15" customHeight="1" s="26">
      <c r="A466" s="33" t="inlineStr">
        <is>
          <t>DLC_holiday</t>
        </is>
      </c>
      <c r="B466" s="33" t="n">
        <v>12</v>
      </c>
      <c r="C466" s="34" t="inlineStr">
        <is>
          <t>10:25</t>
        </is>
      </c>
    </row>
    <row r="467" ht="15" customHeight="1" s="26">
      <c r="A467" s="31" t="inlineStr">
        <is>
          <t>DLC_holiday</t>
        </is>
      </c>
      <c r="B467" s="31" t="n">
        <v>13</v>
      </c>
      <c r="C467" s="32" t="inlineStr">
        <is>
          <t>10:55</t>
        </is>
      </c>
    </row>
    <row r="468" ht="15" customHeight="1" s="26">
      <c r="A468" s="33" t="inlineStr">
        <is>
          <t>DLC_holiday</t>
        </is>
      </c>
      <c r="B468" s="33" t="n">
        <v>14</v>
      </c>
      <c r="C468" s="34" t="inlineStr">
        <is>
          <t>11:25</t>
        </is>
      </c>
    </row>
    <row r="469" ht="15" customHeight="1" s="26">
      <c r="A469" s="31" t="inlineStr">
        <is>
          <t>DLC_holiday</t>
        </is>
      </c>
      <c r="B469" s="31" t="n">
        <v>15</v>
      </c>
      <c r="C469" s="32" t="inlineStr">
        <is>
          <t>11:55</t>
        </is>
      </c>
    </row>
    <row r="470" ht="15" customHeight="1" s="26">
      <c r="A470" s="33" t="inlineStr">
        <is>
          <t>DLC_holiday</t>
        </is>
      </c>
      <c r="B470" s="33" t="n">
        <v>16</v>
      </c>
      <c r="C470" s="34" t="inlineStr">
        <is>
          <t>12:25</t>
        </is>
      </c>
    </row>
    <row r="471" ht="15" customHeight="1" s="26">
      <c r="A471" s="31" t="inlineStr">
        <is>
          <t>DLC_holiday</t>
        </is>
      </c>
      <c r="B471" s="31" t="n">
        <v>17</v>
      </c>
      <c r="C471" s="32" t="inlineStr">
        <is>
          <t>12:55</t>
        </is>
      </c>
    </row>
    <row r="472" ht="15" customHeight="1" s="26">
      <c r="A472" s="33" t="inlineStr">
        <is>
          <t>DLC_holiday</t>
        </is>
      </c>
      <c r="B472" s="33" t="n">
        <v>18</v>
      </c>
      <c r="C472" s="34" t="inlineStr">
        <is>
          <t>13:25</t>
        </is>
      </c>
    </row>
    <row r="473" ht="15" customHeight="1" s="26">
      <c r="A473" s="31" t="inlineStr">
        <is>
          <t>DLC_holiday</t>
        </is>
      </c>
      <c r="B473" s="31" t="n">
        <v>19</v>
      </c>
      <c r="C473" s="32" t="inlineStr">
        <is>
          <t>13:55</t>
        </is>
      </c>
    </row>
    <row r="474" ht="15" customHeight="1" s="26">
      <c r="A474" s="33" t="inlineStr">
        <is>
          <t>DLC_holiday</t>
        </is>
      </c>
      <c r="B474" s="33" t="n">
        <v>20</v>
      </c>
      <c r="C474" s="34" t="inlineStr">
        <is>
          <t>14:25</t>
        </is>
      </c>
    </row>
    <row r="475" ht="15" customHeight="1" s="26">
      <c r="A475" s="31" t="inlineStr">
        <is>
          <t>DLC_holiday</t>
        </is>
      </c>
      <c r="B475" s="31" t="n">
        <v>21</v>
      </c>
      <c r="C475" s="32" t="inlineStr">
        <is>
          <t>14:55</t>
        </is>
      </c>
    </row>
    <row r="476" ht="15" customHeight="1" s="26">
      <c r="A476" s="33" t="inlineStr">
        <is>
          <t>DLC_holiday</t>
        </is>
      </c>
      <c r="B476" s="33" t="n">
        <v>22</v>
      </c>
      <c r="C476" s="34" t="inlineStr">
        <is>
          <t>15:25</t>
        </is>
      </c>
    </row>
    <row r="477" ht="15" customHeight="1" s="26">
      <c r="A477" s="31" t="inlineStr">
        <is>
          <t>DLC_holiday</t>
        </is>
      </c>
      <c r="B477" s="31" t="n">
        <v>23</v>
      </c>
      <c r="C477" s="32" t="inlineStr">
        <is>
          <t>15:55</t>
        </is>
      </c>
    </row>
    <row r="478" ht="15" customHeight="1" s="26">
      <c r="A478" s="33" t="inlineStr">
        <is>
          <t>DLC_holiday</t>
        </is>
      </c>
      <c r="B478" s="33" t="n">
        <v>24</v>
      </c>
      <c r="C478" s="34" t="inlineStr">
        <is>
          <t>16:25</t>
        </is>
      </c>
    </row>
    <row r="479" ht="15" customHeight="1" s="26">
      <c r="A479" s="31" t="inlineStr">
        <is>
          <t>DLC_holiday</t>
        </is>
      </c>
      <c r="B479" s="31" t="n">
        <v>25</v>
      </c>
      <c r="C479" s="32" t="inlineStr">
        <is>
          <t>16:55</t>
        </is>
      </c>
    </row>
    <row r="480" ht="15" customHeight="1" s="26">
      <c r="A480" s="33" t="inlineStr">
        <is>
          <t>DLC_holiday</t>
        </is>
      </c>
      <c r="B480" s="33" t="n">
        <v>26</v>
      </c>
      <c r="C480" s="34" t="inlineStr">
        <is>
          <t>17:25</t>
        </is>
      </c>
    </row>
    <row r="481" ht="15" customHeight="1" s="26">
      <c r="A481" s="31" t="inlineStr">
        <is>
          <t>DLC_holiday</t>
        </is>
      </c>
      <c r="B481" s="31" t="n">
        <v>27</v>
      </c>
      <c r="C481" s="32" t="inlineStr">
        <is>
          <t>17:55</t>
        </is>
      </c>
    </row>
    <row r="482" ht="15" customHeight="1" s="26">
      <c r="A482" s="33" t="inlineStr">
        <is>
          <t>DLC_holiday</t>
        </is>
      </c>
      <c r="B482" s="33" t="n">
        <v>28</v>
      </c>
      <c r="C482" s="34" t="inlineStr">
        <is>
          <t>18:25</t>
        </is>
      </c>
    </row>
    <row r="483" ht="15" customHeight="1" s="26">
      <c r="A483" s="31" t="inlineStr">
        <is>
          <t>DLC_holiday</t>
        </is>
      </c>
      <c r="B483" s="31" t="n">
        <v>29</v>
      </c>
      <c r="C483" s="32" t="inlineStr">
        <is>
          <t>18:55</t>
        </is>
      </c>
    </row>
    <row r="484" ht="15" customHeight="1" s="26">
      <c r="A484" s="33" t="inlineStr">
        <is>
          <t>DLC_holiday</t>
        </is>
      </c>
      <c r="B484" s="33" t="n">
        <v>30</v>
      </c>
      <c r="C484" s="34" t="inlineStr">
        <is>
          <t>19:25</t>
        </is>
      </c>
    </row>
    <row r="485" ht="15" customHeight="1" s="26">
      <c r="A485" s="31" t="inlineStr">
        <is>
          <t>DLC_holiday</t>
        </is>
      </c>
      <c r="B485" s="31" t="n">
        <v>31</v>
      </c>
      <c r="C485" s="32" t="inlineStr">
        <is>
          <t>19:55</t>
        </is>
      </c>
    </row>
    <row r="486" ht="15" customHeight="1" s="26">
      <c r="A486" s="33" t="inlineStr">
        <is>
          <t>DLC_holiday</t>
        </is>
      </c>
      <c r="B486" s="33" t="n">
        <v>32</v>
      </c>
      <c r="C486" s="34" t="inlineStr">
        <is>
          <t>20:25</t>
        </is>
      </c>
    </row>
    <row r="487" ht="15" customHeight="1" s="26">
      <c r="A487" s="31" t="inlineStr">
        <is>
          <t>DLC_holiday</t>
        </is>
      </c>
      <c r="B487" s="31" t="n">
        <v>33</v>
      </c>
      <c r="C487" s="32" t="inlineStr">
        <is>
          <t>20:55</t>
        </is>
      </c>
    </row>
    <row r="488" ht="15" customHeight="1" s="26">
      <c r="A488" s="33" t="inlineStr">
        <is>
          <t>DLC_holiday</t>
        </is>
      </c>
      <c r="B488" s="33" t="n">
        <v>34</v>
      </c>
      <c r="C488" s="34" t="inlineStr">
        <is>
          <t>21:25</t>
        </is>
      </c>
    </row>
    <row r="489" ht="15" customHeight="1" s="26">
      <c r="A489" s="31" t="inlineStr">
        <is>
          <t>DLC_holiday</t>
        </is>
      </c>
      <c r="B489" s="31" t="n">
        <v>35</v>
      </c>
      <c r="C489" s="32" t="inlineStr">
        <is>
          <t>21:55</t>
        </is>
      </c>
    </row>
    <row r="490" ht="15" customHeight="1" s="26">
      <c r="A490" s="33" t="inlineStr">
        <is>
          <t>DLC_holiday</t>
        </is>
      </c>
      <c r="B490" s="33" t="n">
        <v>36</v>
      </c>
      <c r="C490" s="34" t="inlineStr">
        <is>
          <t>22:25</t>
        </is>
      </c>
    </row>
    <row r="491" ht="15" customHeight="1" s="26">
      <c r="A491" s="31" t="inlineStr">
        <is>
          <t>DLC_holiday</t>
        </is>
      </c>
      <c r="B491" s="31" t="n">
        <v>37</v>
      </c>
      <c r="C491" s="32" t="inlineStr">
        <is>
          <t>22:55</t>
        </is>
      </c>
    </row>
    <row r="492" ht="15" customHeight="1" s="26">
      <c r="A492" s="33" t="inlineStr">
        <is>
          <t>DLC_holiday</t>
        </is>
      </c>
      <c r="B492" s="33" t="n">
        <v>38</v>
      </c>
      <c r="C492" s="34" t="inlineStr">
        <is>
          <t>23:50</t>
        </is>
      </c>
    </row>
  </sheetData>
  <mergeCells count="10">
    <mergeCell ref="A2:F2"/>
    <mergeCell ref="A453:C453"/>
    <mergeCell ref="A1:F1"/>
    <mergeCell ref="A250:C250"/>
    <mergeCell ref="A167:C167"/>
    <mergeCell ref="A100:C100"/>
    <mergeCell ref="A412:C412"/>
    <mergeCell ref="A4:C4"/>
    <mergeCell ref="A209:C209"/>
    <mergeCell ref="A345:C34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P29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4.43" defaultRowHeight="15" customHeight="1"/>
  <cols>
    <col width="24" customWidth="1" style="26" min="1" max="1"/>
    <col width="7" customWidth="1" style="26" min="2" max="94"/>
  </cols>
  <sheetData>
    <row r="1" ht="27.75" customHeight="1" s="26">
      <c r="A1" s="1" t="inlineStr">
        <is>
          <t>Tren Urquiza — Lunes a Viernes → Lacroze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  <c r="CK1" s="2" t="n"/>
      <c r="CL1" s="2" t="n"/>
      <c r="CM1" s="2" t="n"/>
      <c r="CN1" s="2" t="n"/>
      <c r="CO1" s="2" t="n"/>
      <c r="CP1" s="3" t="n"/>
    </row>
    <row r="2" ht="15.75" customHeight="1" s="26">
      <c r="A2" s="4" t="inlineStr">
        <is>
          <t>Salida desde General Lemos  |  Horario Mural Invierno 2026 — Metrovías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  <c r="BE2" s="5" t="n"/>
      <c r="BF2" s="5" t="n"/>
      <c r="BG2" s="5" t="n"/>
      <c r="BH2" s="5" t="n"/>
      <c r="BI2" s="5" t="n"/>
      <c r="BJ2" s="5" t="n"/>
      <c r="BK2" s="5" t="n"/>
      <c r="BL2" s="5" t="n"/>
      <c r="BM2" s="5" t="n"/>
      <c r="BN2" s="5" t="n"/>
      <c r="BO2" s="5" t="n"/>
      <c r="BP2" s="5" t="n"/>
      <c r="BQ2" s="5" t="n"/>
      <c r="BR2" s="5" t="n"/>
      <c r="BS2" s="5" t="n"/>
      <c r="BT2" s="5" t="n"/>
      <c r="BU2" s="5" t="n"/>
      <c r="BV2" s="5" t="n"/>
      <c r="BW2" s="5" t="n"/>
      <c r="BX2" s="5" t="n"/>
      <c r="BY2" s="5" t="n"/>
      <c r="BZ2" s="5" t="n"/>
      <c r="CA2" s="5" t="n"/>
      <c r="CB2" s="5" t="n"/>
      <c r="CC2" s="5" t="n"/>
      <c r="CD2" s="5" t="n"/>
      <c r="CE2" s="5" t="n"/>
      <c r="CF2" s="5" t="n"/>
      <c r="CG2" s="5" t="n"/>
      <c r="CH2" s="5" t="n"/>
      <c r="CI2" s="5" t="n"/>
      <c r="CJ2" s="5" t="n"/>
      <c r="CK2" s="5" t="n"/>
      <c r="CL2" s="5" t="n"/>
      <c r="CM2" s="5" t="n"/>
      <c r="CN2" s="5" t="n"/>
      <c r="CO2" s="5" t="n"/>
      <c r="CP2" s="6" t="n"/>
    </row>
    <row r="3" ht="4.5" customHeight="1" s="26"/>
    <row r="4" ht="19.5" customHeight="1" s="26">
      <c r="A4" s="7" t="inlineStr">
        <is>
          <t>Estación</t>
        </is>
      </c>
      <c r="B4" s="8" t="n">
        <v>0.04166666666666666</v>
      </c>
      <c r="C4" s="9" t="inlineStr">
        <is>
          <t>02:30</t>
        </is>
      </c>
      <c r="D4" s="9" t="inlineStr">
        <is>
          <t>03:45</t>
        </is>
      </c>
      <c r="E4" s="9" t="inlineStr">
        <is>
          <t>04:30</t>
        </is>
      </c>
      <c r="F4" s="9" t="inlineStr">
        <is>
          <t>04:45</t>
        </is>
      </c>
      <c r="G4" s="9" t="inlineStr">
        <is>
          <t>05:00</t>
        </is>
      </c>
      <c r="H4" s="9" t="inlineStr">
        <is>
          <t>05:15</t>
        </is>
      </c>
      <c r="I4" s="9" t="inlineStr">
        <is>
          <t>05:30</t>
        </is>
      </c>
      <c r="J4" s="9" t="inlineStr">
        <is>
          <t>05:40</t>
        </is>
      </c>
      <c r="K4" s="9" t="inlineStr">
        <is>
          <t>05:51</t>
        </is>
      </c>
      <c r="L4" s="9" t="inlineStr">
        <is>
          <t>06:01</t>
        </is>
      </c>
      <c r="M4" s="9" t="inlineStr">
        <is>
          <t>06:11</t>
        </is>
      </c>
      <c r="N4" s="9" t="inlineStr">
        <is>
          <t>06:21</t>
        </is>
      </c>
      <c r="O4" s="9" t="inlineStr">
        <is>
          <t>06:31</t>
        </is>
      </c>
      <c r="P4" s="9" t="inlineStr">
        <is>
          <t>06:40</t>
        </is>
      </c>
      <c r="Q4" s="9" t="inlineStr">
        <is>
          <t>06:48</t>
        </is>
      </c>
      <c r="R4" s="9" t="inlineStr">
        <is>
          <t>06:58</t>
        </is>
      </c>
      <c r="S4" s="9" t="inlineStr">
        <is>
          <t>07:08</t>
        </is>
      </c>
      <c r="T4" s="9" t="inlineStr">
        <is>
          <t>07:18</t>
        </is>
      </c>
      <c r="U4" s="9" t="inlineStr">
        <is>
          <t>07:26</t>
        </is>
      </c>
      <c r="V4" s="9" t="inlineStr">
        <is>
          <t>07:34</t>
        </is>
      </c>
      <c r="W4" s="9" t="inlineStr">
        <is>
          <t>07:42</t>
        </is>
      </c>
      <c r="X4" s="9" t="inlineStr">
        <is>
          <t>07:50</t>
        </is>
      </c>
      <c r="Y4" s="9" t="inlineStr">
        <is>
          <t>07:58</t>
        </is>
      </c>
      <c r="Z4" s="9" t="inlineStr">
        <is>
          <t>08:06</t>
        </is>
      </c>
      <c r="AA4" s="9" t="inlineStr">
        <is>
          <t>08:14</t>
        </is>
      </c>
      <c r="AB4" s="9" t="inlineStr">
        <is>
          <t>08:22</t>
        </is>
      </c>
      <c r="AC4" s="9" t="inlineStr">
        <is>
          <t>08:29</t>
        </is>
      </c>
      <c r="AD4" s="9" t="inlineStr">
        <is>
          <t>08:39</t>
        </is>
      </c>
      <c r="AE4" s="9" t="inlineStr">
        <is>
          <t>08:49</t>
        </is>
      </c>
      <c r="AF4" s="9" t="inlineStr">
        <is>
          <t>08:59</t>
        </is>
      </c>
      <c r="AG4" s="9" t="inlineStr">
        <is>
          <t>09:09</t>
        </is>
      </c>
      <c r="AH4" s="9" t="inlineStr">
        <is>
          <t>09:19</t>
        </is>
      </c>
      <c r="AI4" s="9" t="inlineStr">
        <is>
          <t>09:29</t>
        </is>
      </c>
      <c r="AJ4" s="9" t="inlineStr">
        <is>
          <t>09:39</t>
        </is>
      </c>
      <c r="AK4" s="9" t="inlineStr">
        <is>
          <t>09:49</t>
        </is>
      </c>
      <c r="AL4" s="9" t="inlineStr">
        <is>
          <t>09:59</t>
        </is>
      </c>
      <c r="AM4" s="9" t="inlineStr">
        <is>
          <t>10:14</t>
        </is>
      </c>
      <c r="AN4" s="9" t="inlineStr">
        <is>
          <t>10:31</t>
        </is>
      </c>
      <c r="AO4" s="9" t="inlineStr">
        <is>
          <t>10:51</t>
        </is>
      </c>
      <c r="AP4" s="9" t="inlineStr">
        <is>
          <t>11:07</t>
        </is>
      </c>
      <c r="AQ4" s="9" t="inlineStr">
        <is>
          <t>11:22</t>
        </is>
      </c>
      <c r="AR4" s="9" t="inlineStr">
        <is>
          <t>11:37</t>
        </is>
      </c>
      <c r="AS4" s="9" t="inlineStr">
        <is>
          <t>11:52</t>
        </is>
      </c>
      <c r="AT4" s="9" t="inlineStr">
        <is>
          <t>12:07</t>
        </is>
      </c>
      <c r="AU4" s="9" t="inlineStr">
        <is>
          <t>12:22</t>
        </is>
      </c>
      <c r="AV4" s="9" t="inlineStr">
        <is>
          <t>12:37</t>
        </is>
      </c>
      <c r="AW4" s="9" t="inlineStr">
        <is>
          <t>12:52</t>
        </is>
      </c>
      <c r="AX4" s="9" t="inlineStr">
        <is>
          <t>13:07</t>
        </is>
      </c>
      <c r="AY4" s="9" t="inlineStr">
        <is>
          <t>13:22</t>
        </is>
      </c>
      <c r="AZ4" s="9" t="inlineStr">
        <is>
          <t>13:37</t>
        </is>
      </c>
      <c r="BA4" s="9" t="inlineStr">
        <is>
          <t>13:52</t>
        </is>
      </c>
      <c r="BB4" s="9" t="inlineStr">
        <is>
          <t>14:07</t>
        </is>
      </c>
      <c r="BC4" s="9" t="inlineStr">
        <is>
          <t>14:22</t>
        </is>
      </c>
      <c r="BD4" s="9" t="inlineStr">
        <is>
          <t>14:37</t>
        </is>
      </c>
      <c r="BE4" s="9" t="inlineStr">
        <is>
          <t>14:52</t>
        </is>
      </c>
      <c r="BF4" s="9" t="inlineStr">
        <is>
          <t>15:07</t>
        </is>
      </c>
      <c r="BG4" s="9" t="inlineStr">
        <is>
          <t>15:22</t>
        </is>
      </c>
      <c r="BH4" s="9" t="inlineStr">
        <is>
          <t>15:37</t>
        </is>
      </c>
      <c r="BI4" s="9" t="inlineStr">
        <is>
          <t>15:52</t>
        </is>
      </c>
      <c r="BJ4" s="9" t="inlineStr">
        <is>
          <t>16:07</t>
        </is>
      </c>
      <c r="BK4" s="9" t="inlineStr">
        <is>
          <t>16:22</t>
        </is>
      </c>
      <c r="BL4" s="9" t="inlineStr">
        <is>
          <t>16:37</t>
        </is>
      </c>
      <c r="BM4" s="9" t="inlineStr">
        <is>
          <t>16:53</t>
        </is>
      </c>
      <c r="BN4" s="9" t="inlineStr">
        <is>
          <t>17:08</t>
        </is>
      </c>
      <c r="BO4" s="9" t="inlineStr">
        <is>
          <t>17:23</t>
        </is>
      </c>
      <c r="BP4" s="9" t="inlineStr">
        <is>
          <t>17:38</t>
        </is>
      </c>
      <c r="BQ4" s="9" t="inlineStr">
        <is>
          <t>17:53</t>
        </is>
      </c>
      <c r="BR4" s="9" t="inlineStr">
        <is>
          <t>18:03</t>
        </is>
      </c>
      <c r="BS4" s="9" t="inlineStr">
        <is>
          <t>18:13</t>
        </is>
      </c>
      <c r="BT4" s="9" t="inlineStr">
        <is>
          <t>18:23</t>
        </is>
      </c>
      <c r="BU4" s="9" t="inlineStr">
        <is>
          <t>18:33</t>
        </is>
      </c>
      <c r="BV4" s="9" t="inlineStr">
        <is>
          <t>18:43</t>
        </is>
      </c>
      <c r="BW4" s="9" t="inlineStr">
        <is>
          <t>18:53</t>
        </is>
      </c>
      <c r="BX4" s="9" t="inlineStr">
        <is>
          <t>19:03</t>
        </is>
      </c>
      <c r="BY4" s="9" t="inlineStr">
        <is>
          <t>19:13</t>
        </is>
      </c>
      <c r="BZ4" s="9" t="inlineStr">
        <is>
          <t>19:23</t>
        </is>
      </c>
      <c r="CA4" s="9" t="inlineStr">
        <is>
          <t>19:33</t>
        </is>
      </c>
      <c r="CB4" s="9" t="inlineStr">
        <is>
          <t>19:43</t>
        </is>
      </c>
      <c r="CC4" s="9" t="inlineStr">
        <is>
          <t>19:53</t>
        </is>
      </c>
      <c r="CD4" s="9" t="inlineStr">
        <is>
          <t>20:03</t>
        </is>
      </c>
      <c r="CE4" s="9" t="inlineStr">
        <is>
          <t>20:13</t>
        </is>
      </c>
      <c r="CF4" s="9" t="inlineStr">
        <is>
          <t>20:23</t>
        </is>
      </c>
      <c r="CG4" s="9" t="inlineStr">
        <is>
          <t>20:43</t>
        </is>
      </c>
      <c r="CH4" s="9" t="inlineStr">
        <is>
          <t>21:03</t>
        </is>
      </c>
      <c r="CI4" s="9" t="inlineStr">
        <is>
          <t>21:23</t>
        </is>
      </c>
      <c r="CJ4" s="9" t="inlineStr">
        <is>
          <t>21:41</t>
        </is>
      </c>
      <c r="CK4" s="9" t="inlineStr">
        <is>
          <t>22:01</t>
        </is>
      </c>
      <c r="CL4" s="9" t="inlineStr">
        <is>
          <t>22:13</t>
        </is>
      </c>
      <c r="CM4" s="9" t="inlineStr">
        <is>
          <t>22:33</t>
        </is>
      </c>
      <c r="CN4" s="9" t="inlineStr">
        <is>
          <t>22:53</t>
        </is>
      </c>
      <c r="CO4" s="9" t="inlineStr">
        <is>
          <t>23:21</t>
        </is>
      </c>
      <c r="CP4" s="9" t="inlineStr">
        <is>
          <t>23:59</t>
        </is>
      </c>
    </row>
    <row r="5" ht="16.5" customHeight="1" s="26">
      <c r="A5" s="10" t="inlineStr">
        <is>
          <t>General Lemos</t>
        </is>
      </c>
      <c r="B5" s="11" t="inlineStr">
        <is>
          <t>01:00</t>
        </is>
      </c>
      <c r="C5" s="11" t="inlineStr">
        <is>
          <t>02:30</t>
        </is>
      </c>
      <c r="D5" s="11" t="inlineStr">
        <is>
          <t>03:45</t>
        </is>
      </c>
      <c r="E5" s="11" t="inlineStr">
        <is>
          <t>04:30</t>
        </is>
      </c>
      <c r="F5" s="11" t="inlineStr">
        <is>
          <t>04:45</t>
        </is>
      </c>
      <c r="G5" s="11" t="inlineStr">
        <is>
          <t>05:00</t>
        </is>
      </c>
      <c r="H5" s="11" t="inlineStr">
        <is>
          <t>05:15</t>
        </is>
      </c>
      <c r="I5" s="11" t="inlineStr">
        <is>
          <t>05:30</t>
        </is>
      </c>
      <c r="J5" s="11" t="inlineStr">
        <is>
          <t>05:40</t>
        </is>
      </c>
      <c r="K5" s="11" t="inlineStr">
        <is>
          <t>05:51</t>
        </is>
      </c>
      <c r="L5" s="11" t="inlineStr">
        <is>
          <t>06:01</t>
        </is>
      </c>
      <c r="M5" s="11" t="inlineStr">
        <is>
          <t>06:11</t>
        </is>
      </c>
      <c r="N5" s="11" t="inlineStr">
        <is>
          <t>06:21</t>
        </is>
      </c>
      <c r="O5" s="11" t="inlineStr">
        <is>
          <t>06:31</t>
        </is>
      </c>
      <c r="P5" s="11" t="inlineStr">
        <is>
          <t>06:40</t>
        </is>
      </c>
      <c r="Q5" s="11" t="inlineStr">
        <is>
          <t>06:48</t>
        </is>
      </c>
      <c r="R5" s="11" t="inlineStr">
        <is>
          <t>06:58</t>
        </is>
      </c>
      <c r="S5" s="11" t="inlineStr">
        <is>
          <t>07:08</t>
        </is>
      </c>
      <c r="T5" s="11" t="inlineStr">
        <is>
          <t>07:18</t>
        </is>
      </c>
      <c r="U5" s="11" t="inlineStr">
        <is>
          <t>07:26</t>
        </is>
      </c>
      <c r="V5" s="11" t="inlineStr">
        <is>
          <t>07:34</t>
        </is>
      </c>
      <c r="W5" s="11" t="inlineStr">
        <is>
          <t>07:42</t>
        </is>
      </c>
      <c r="X5" s="11" t="inlineStr">
        <is>
          <t>07:50</t>
        </is>
      </c>
      <c r="Y5" s="11" t="inlineStr">
        <is>
          <t>07:58</t>
        </is>
      </c>
      <c r="Z5" s="11" t="inlineStr">
        <is>
          <t>08:06</t>
        </is>
      </c>
      <c r="AA5" s="11" t="inlineStr">
        <is>
          <t>08:14</t>
        </is>
      </c>
      <c r="AB5" s="11" t="inlineStr">
        <is>
          <t>08:22</t>
        </is>
      </c>
      <c r="AC5" s="11" t="inlineStr">
        <is>
          <t>08:29</t>
        </is>
      </c>
      <c r="AD5" s="11" t="inlineStr">
        <is>
          <t>08:39</t>
        </is>
      </c>
      <c r="AE5" s="11" t="inlineStr">
        <is>
          <t>08:49</t>
        </is>
      </c>
      <c r="AF5" s="11" t="inlineStr">
        <is>
          <t>08:59</t>
        </is>
      </c>
      <c r="AG5" s="11" t="inlineStr">
        <is>
          <t>09:09</t>
        </is>
      </c>
      <c r="AH5" s="11" t="inlineStr">
        <is>
          <t>09:19</t>
        </is>
      </c>
      <c r="AI5" s="11" t="inlineStr">
        <is>
          <t>09:29</t>
        </is>
      </c>
      <c r="AJ5" s="11" t="inlineStr">
        <is>
          <t>09:39</t>
        </is>
      </c>
      <c r="AK5" s="11" t="inlineStr">
        <is>
          <t>09:49</t>
        </is>
      </c>
      <c r="AL5" s="11" t="inlineStr">
        <is>
          <t>09:59</t>
        </is>
      </c>
      <c r="AM5" s="11" t="inlineStr">
        <is>
          <t>10:14</t>
        </is>
      </c>
      <c r="AN5" s="11" t="inlineStr">
        <is>
          <t>10:31</t>
        </is>
      </c>
      <c r="AO5" s="11" t="inlineStr">
        <is>
          <t>10:51</t>
        </is>
      </c>
      <c r="AP5" s="11" t="inlineStr">
        <is>
          <t>11:07</t>
        </is>
      </c>
      <c r="AQ5" s="11" t="inlineStr">
        <is>
          <t>11:22</t>
        </is>
      </c>
      <c r="AR5" s="11" t="inlineStr">
        <is>
          <t>11:37</t>
        </is>
      </c>
      <c r="AS5" s="11" t="inlineStr">
        <is>
          <t>11:52</t>
        </is>
      </c>
      <c r="AT5" s="11" t="inlineStr">
        <is>
          <t>12:07</t>
        </is>
      </c>
      <c r="AU5" s="11" t="inlineStr">
        <is>
          <t>12:22</t>
        </is>
      </c>
      <c r="AV5" s="11" t="inlineStr">
        <is>
          <t>12:37</t>
        </is>
      </c>
      <c r="AW5" s="11" t="inlineStr">
        <is>
          <t>12:52</t>
        </is>
      </c>
      <c r="AX5" s="11" t="inlineStr">
        <is>
          <t>13:07</t>
        </is>
      </c>
      <c r="AY5" s="11" t="inlineStr">
        <is>
          <t>13:22</t>
        </is>
      </c>
      <c r="AZ5" s="11" t="inlineStr">
        <is>
          <t>13:37</t>
        </is>
      </c>
      <c r="BA5" s="11" t="inlineStr">
        <is>
          <t>13:52</t>
        </is>
      </c>
      <c r="BB5" s="11" t="inlineStr">
        <is>
          <t>14:07</t>
        </is>
      </c>
      <c r="BC5" s="11" t="inlineStr">
        <is>
          <t>14:22</t>
        </is>
      </c>
      <c r="BD5" s="11" t="inlineStr">
        <is>
          <t>14:37</t>
        </is>
      </c>
      <c r="BE5" s="11" t="inlineStr">
        <is>
          <t>14:52</t>
        </is>
      </c>
      <c r="BF5" s="11" t="inlineStr">
        <is>
          <t>15:07</t>
        </is>
      </c>
      <c r="BG5" s="11" t="inlineStr">
        <is>
          <t>15:22</t>
        </is>
      </c>
      <c r="BH5" s="11" t="inlineStr">
        <is>
          <t>15:37</t>
        </is>
      </c>
      <c r="BI5" s="11" t="inlineStr">
        <is>
          <t>15:52</t>
        </is>
      </c>
      <c r="BJ5" s="11" t="inlineStr">
        <is>
          <t>16:07</t>
        </is>
      </c>
      <c r="BK5" s="11" t="inlineStr">
        <is>
          <t>16:22</t>
        </is>
      </c>
      <c r="BL5" s="11" t="inlineStr">
        <is>
          <t>16:37</t>
        </is>
      </c>
      <c r="BM5" s="11" t="inlineStr">
        <is>
          <t>16:53</t>
        </is>
      </c>
      <c r="BN5" s="11" t="inlineStr">
        <is>
          <t>17:08</t>
        </is>
      </c>
      <c r="BO5" s="11" t="inlineStr">
        <is>
          <t>17:23</t>
        </is>
      </c>
      <c r="BP5" s="11" t="inlineStr">
        <is>
          <t>17:38</t>
        </is>
      </c>
      <c r="BQ5" s="11" t="inlineStr">
        <is>
          <t>17:53</t>
        </is>
      </c>
      <c r="BR5" s="11" t="inlineStr">
        <is>
          <t>18:03</t>
        </is>
      </c>
      <c r="BS5" s="11" t="inlineStr">
        <is>
          <t>18:13</t>
        </is>
      </c>
      <c r="BT5" s="11" t="inlineStr">
        <is>
          <t>18:23</t>
        </is>
      </c>
      <c r="BU5" s="11" t="inlineStr">
        <is>
          <t>18:33</t>
        </is>
      </c>
      <c r="BV5" s="11" t="inlineStr">
        <is>
          <t>18:43</t>
        </is>
      </c>
      <c r="BW5" s="11" t="inlineStr">
        <is>
          <t>18:53</t>
        </is>
      </c>
      <c r="BX5" s="11" t="inlineStr">
        <is>
          <t>19:03</t>
        </is>
      </c>
      <c r="BY5" s="11" t="inlineStr">
        <is>
          <t>19:13</t>
        </is>
      </c>
      <c r="BZ5" s="11" t="inlineStr">
        <is>
          <t>19:23</t>
        </is>
      </c>
      <c r="CA5" s="11" t="inlineStr">
        <is>
          <t>19:33</t>
        </is>
      </c>
      <c r="CB5" s="11" t="inlineStr">
        <is>
          <t>19:43</t>
        </is>
      </c>
      <c r="CC5" s="11" t="inlineStr">
        <is>
          <t>19:53</t>
        </is>
      </c>
      <c r="CD5" s="11" t="inlineStr">
        <is>
          <t>20:03</t>
        </is>
      </c>
      <c r="CE5" s="11" t="inlineStr">
        <is>
          <t>20:13</t>
        </is>
      </c>
      <c r="CF5" s="11" t="inlineStr">
        <is>
          <t>20:23</t>
        </is>
      </c>
      <c r="CG5" s="11" t="inlineStr">
        <is>
          <t>20:43</t>
        </is>
      </c>
      <c r="CH5" s="11" t="inlineStr">
        <is>
          <t>21:03</t>
        </is>
      </c>
      <c r="CI5" s="11" t="inlineStr">
        <is>
          <t>21:23</t>
        </is>
      </c>
      <c r="CJ5" s="11" t="inlineStr">
        <is>
          <t>21:41</t>
        </is>
      </c>
      <c r="CK5" s="11" t="inlineStr">
        <is>
          <t>22:01</t>
        </is>
      </c>
      <c r="CL5" s="11" t="inlineStr">
        <is>
          <t>22:13</t>
        </is>
      </c>
      <c r="CM5" s="11" t="inlineStr">
        <is>
          <t>22:33</t>
        </is>
      </c>
      <c r="CN5" s="11" t="inlineStr">
        <is>
          <t>22:53</t>
        </is>
      </c>
      <c r="CO5" s="11" t="inlineStr">
        <is>
          <t>23:21</t>
        </is>
      </c>
      <c r="CP5" s="11" t="inlineStr">
        <is>
          <t>23:59</t>
        </is>
      </c>
    </row>
    <row r="6" ht="16.5" customHeight="1" s="26">
      <c r="A6" s="12" t="inlineStr">
        <is>
          <t>Sargento Cabral</t>
        </is>
      </c>
      <c r="B6" s="13">
        <f>TEXT(MOD(TIMEVALUE(B5)+2/1440,1),"HH:MM")</f>
        <v/>
      </c>
      <c r="C6" s="13">
        <f>TEXT(MOD(TIMEVALUE(C5)+2/1440,1),"HH:MM")</f>
        <v/>
      </c>
      <c r="D6" s="13">
        <f>TEXT(MOD(TIMEVALUE(D5)+2/1440,1),"HH:MM")</f>
        <v/>
      </c>
      <c r="E6" s="13">
        <f>TEXT(MOD(TIMEVALUE(E5)+2/1440,1),"HH:MM")</f>
        <v/>
      </c>
      <c r="F6" s="13">
        <f>TEXT(MOD(TIMEVALUE(F5)+2/1440,1),"HH:MM")</f>
        <v/>
      </c>
      <c r="G6" s="13">
        <f>TEXT(MOD(TIMEVALUE(G5)+2/1440,1),"HH:MM")</f>
        <v/>
      </c>
      <c r="H6" s="13">
        <f>TEXT(MOD(TIMEVALUE(H5)+2/1440,1),"HH:MM")</f>
        <v/>
      </c>
      <c r="I6" s="13">
        <f>TEXT(MOD(TIMEVALUE(I5)+2/1440,1),"HH:MM")</f>
        <v/>
      </c>
      <c r="J6" s="13">
        <f>TEXT(MOD(TIMEVALUE(J5)+2/1440,1),"HH:MM")</f>
        <v/>
      </c>
      <c r="K6" s="13">
        <f>TEXT(MOD(TIMEVALUE(K5)+2/1440,1),"HH:MM")</f>
        <v/>
      </c>
      <c r="L6" s="13">
        <f>TEXT(MOD(TIMEVALUE(L5)+2/1440,1),"HH:MM")</f>
        <v/>
      </c>
      <c r="M6" s="13">
        <f>TEXT(MOD(TIMEVALUE(M5)+2/1440,1),"HH:MM")</f>
        <v/>
      </c>
      <c r="N6" s="13">
        <f>TEXT(MOD(TIMEVALUE(N5)+2/1440,1),"HH:MM")</f>
        <v/>
      </c>
      <c r="O6" s="13">
        <f>TEXT(MOD(TIMEVALUE(O5)+2/1440,1),"HH:MM")</f>
        <v/>
      </c>
      <c r="P6" s="13">
        <f>TEXT(MOD(TIMEVALUE(P5)+2/1440,1),"HH:MM")</f>
        <v/>
      </c>
      <c r="Q6" s="13">
        <f>TEXT(MOD(TIMEVALUE(Q5)+2/1440,1),"HH:MM")</f>
        <v/>
      </c>
      <c r="R6" s="13">
        <f>TEXT(MOD(TIMEVALUE(R5)+2/1440,1),"HH:MM")</f>
        <v/>
      </c>
      <c r="S6" s="13">
        <f>TEXT(MOD(TIMEVALUE(S5)+2/1440,1),"HH:MM")</f>
        <v/>
      </c>
      <c r="T6" s="13">
        <f>TEXT(MOD(TIMEVALUE(T5)+2/1440,1),"HH:MM")</f>
        <v/>
      </c>
      <c r="U6" s="13">
        <f>TEXT(MOD(TIMEVALUE(U5)+2/1440,1),"HH:MM")</f>
        <v/>
      </c>
      <c r="V6" s="13">
        <f>TEXT(MOD(TIMEVALUE(V5)+2/1440,1),"HH:MM")</f>
        <v/>
      </c>
      <c r="W6" s="13">
        <f>TEXT(MOD(TIMEVALUE(W5)+2/1440,1),"HH:MM")</f>
        <v/>
      </c>
      <c r="X6" s="13">
        <f>TEXT(MOD(TIMEVALUE(X5)+2/1440,1),"HH:MM")</f>
        <v/>
      </c>
      <c r="Y6" s="13">
        <f>TEXT(MOD(TIMEVALUE(Y5)+2/1440,1),"HH:MM")</f>
        <v/>
      </c>
      <c r="Z6" s="13">
        <f>TEXT(MOD(TIMEVALUE(Z5)+2/1440,1),"HH:MM")</f>
        <v/>
      </c>
      <c r="AA6" s="13">
        <f>TEXT(MOD(TIMEVALUE(AA5)+2/1440,1),"HH:MM")</f>
        <v/>
      </c>
      <c r="AB6" s="13">
        <f>TEXT(MOD(TIMEVALUE(AB5)+2/1440,1),"HH:MM")</f>
        <v/>
      </c>
      <c r="AC6" s="13">
        <f>TEXT(MOD(TIMEVALUE(AC5)+2/1440,1),"HH:MM")</f>
        <v/>
      </c>
      <c r="AD6" s="13">
        <f>TEXT(MOD(TIMEVALUE(AD5)+2/1440,1),"HH:MM")</f>
        <v/>
      </c>
      <c r="AE6" s="13">
        <f>TEXT(MOD(TIMEVALUE(AE5)+2/1440,1),"HH:MM")</f>
        <v/>
      </c>
      <c r="AF6" s="13">
        <f>TEXT(MOD(TIMEVALUE(AF5)+2/1440,1),"HH:MM")</f>
        <v/>
      </c>
      <c r="AG6" s="13">
        <f>TEXT(MOD(TIMEVALUE(AG5)+2/1440,1),"HH:MM")</f>
        <v/>
      </c>
      <c r="AH6" s="13">
        <f>TEXT(MOD(TIMEVALUE(AH5)+2/1440,1),"HH:MM")</f>
        <v/>
      </c>
      <c r="AI6" s="13">
        <f>TEXT(MOD(TIMEVALUE(AI5)+2/1440,1),"HH:MM")</f>
        <v/>
      </c>
      <c r="AJ6" s="13">
        <f>TEXT(MOD(TIMEVALUE(AJ5)+2/1440,1),"HH:MM")</f>
        <v/>
      </c>
      <c r="AK6" s="13">
        <f>TEXT(MOD(TIMEVALUE(AK5)+2/1440,1),"HH:MM")</f>
        <v/>
      </c>
      <c r="AL6" s="13">
        <f>TEXT(MOD(TIMEVALUE(AL5)+2/1440,1),"HH:MM")</f>
        <v/>
      </c>
      <c r="AM6" s="13">
        <f>TEXT(MOD(TIMEVALUE(AM5)+2/1440,1),"HH:MM")</f>
        <v/>
      </c>
      <c r="AN6" s="13">
        <f>TEXT(MOD(TIMEVALUE(AN5)+2/1440,1),"HH:MM")</f>
        <v/>
      </c>
      <c r="AO6" s="13">
        <f>TEXT(MOD(TIMEVALUE(AO5)+2/1440,1),"HH:MM")</f>
        <v/>
      </c>
      <c r="AP6" s="13">
        <f>TEXT(MOD(TIMEVALUE(AP5)+2/1440,1),"HH:MM")</f>
        <v/>
      </c>
      <c r="AQ6" s="13">
        <f>TEXT(MOD(TIMEVALUE(AQ5)+2/1440,1),"HH:MM")</f>
        <v/>
      </c>
      <c r="AR6" s="13">
        <f>TEXT(MOD(TIMEVALUE(AR5)+2/1440,1),"HH:MM")</f>
        <v/>
      </c>
      <c r="AS6" s="13">
        <f>TEXT(MOD(TIMEVALUE(AS5)+2/1440,1),"HH:MM")</f>
        <v/>
      </c>
      <c r="AT6" s="13">
        <f>TEXT(MOD(TIMEVALUE(AT5)+2/1440,1),"HH:MM")</f>
        <v/>
      </c>
      <c r="AU6" s="13">
        <f>TEXT(MOD(TIMEVALUE(AU5)+2/1440,1),"HH:MM")</f>
        <v/>
      </c>
      <c r="AV6" s="13">
        <f>TEXT(MOD(TIMEVALUE(AV5)+2/1440,1),"HH:MM")</f>
        <v/>
      </c>
      <c r="AW6" s="13">
        <f>TEXT(MOD(TIMEVALUE(AW5)+2/1440,1),"HH:MM")</f>
        <v/>
      </c>
      <c r="AX6" s="13">
        <f>TEXT(MOD(TIMEVALUE(AX5)+2/1440,1),"HH:MM")</f>
        <v/>
      </c>
      <c r="AY6" s="13">
        <f>TEXT(MOD(TIMEVALUE(AY5)+2/1440,1),"HH:MM")</f>
        <v/>
      </c>
      <c r="AZ6" s="13">
        <f>TEXT(MOD(TIMEVALUE(AZ5)+2/1440,1),"HH:MM")</f>
        <v/>
      </c>
      <c r="BA6" s="13">
        <f>TEXT(MOD(TIMEVALUE(BA5)+2/1440,1),"HH:MM")</f>
        <v/>
      </c>
      <c r="BB6" s="13">
        <f>TEXT(MOD(TIMEVALUE(BB5)+2/1440,1),"HH:MM")</f>
        <v/>
      </c>
      <c r="BC6" s="13">
        <f>TEXT(MOD(TIMEVALUE(BC5)+2/1440,1),"HH:MM")</f>
        <v/>
      </c>
      <c r="BD6" s="13">
        <f>TEXT(MOD(TIMEVALUE(BD5)+2/1440,1),"HH:MM")</f>
        <v/>
      </c>
      <c r="BE6" s="13">
        <f>TEXT(MOD(TIMEVALUE(BE5)+2/1440,1),"HH:MM")</f>
        <v/>
      </c>
      <c r="BF6" s="13">
        <f>TEXT(MOD(TIMEVALUE(BF5)+2/1440,1),"HH:MM")</f>
        <v/>
      </c>
      <c r="BG6" s="13">
        <f>TEXT(MOD(TIMEVALUE(BG5)+2/1440,1),"HH:MM")</f>
        <v/>
      </c>
      <c r="BH6" s="13">
        <f>TEXT(MOD(TIMEVALUE(BH5)+2/1440,1),"HH:MM")</f>
        <v/>
      </c>
      <c r="BI6" s="13">
        <f>TEXT(MOD(TIMEVALUE(BI5)+2/1440,1),"HH:MM")</f>
        <v/>
      </c>
      <c r="BJ6" s="13">
        <f>TEXT(MOD(TIMEVALUE(BJ5)+2/1440,1),"HH:MM")</f>
        <v/>
      </c>
      <c r="BK6" s="13">
        <f>TEXT(MOD(TIMEVALUE(BK5)+2/1440,1),"HH:MM")</f>
        <v/>
      </c>
      <c r="BL6" s="13">
        <f>TEXT(MOD(TIMEVALUE(BL5)+2/1440,1),"HH:MM")</f>
        <v/>
      </c>
      <c r="BM6" s="13">
        <f>TEXT(MOD(TIMEVALUE(BM5)+2/1440,1),"HH:MM")</f>
        <v/>
      </c>
      <c r="BN6" s="13">
        <f>TEXT(MOD(TIMEVALUE(BN5)+2/1440,1),"HH:MM")</f>
        <v/>
      </c>
      <c r="BO6" s="13">
        <f>TEXT(MOD(TIMEVALUE(BO5)+2/1440,1),"HH:MM")</f>
        <v/>
      </c>
      <c r="BP6" s="13">
        <f>TEXT(MOD(TIMEVALUE(BP5)+2/1440,1),"HH:MM")</f>
        <v/>
      </c>
      <c r="BQ6" s="13">
        <f>TEXT(MOD(TIMEVALUE(BQ5)+2/1440,1),"HH:MM")</f>
        <v/>
      </c>
      <c r="BR6" s="13">
        <f>TEXT(MOD(TIMEVALUE(BR5)+2/1440,1),"HH:MM")</f>
        <v/>
      </c>
      <c r="BS6" s="13">
        <f>TEXT(MOD(TIMEVALUE(BS5)+2/1440,1),"HH:MM")</f>
        <v/>
      </c>
      <c r="BT6" s="13">
        <f>TEXT(MOD(TIMEVALUE(BT5)+2/1440,1),"HH:MM")</f>
        <v/>
      </c>
      <c r="BU6" s="13">
        <f>TEXT(MOD(TIMEVALUE(BU5)+2/1440,1),"HH:MM")</f>
        <v/>
      </c>
      <c r="BV6" s="13">
        <f>TEXT(MOD(TIMEVALUE(BV5)+2/1440,1),"HH:MM")</f>
        <v/>
      </c>
      <c r="BW6" s="13">
        <f>TEXT(MOD(TIMEVALUE(BW5)+2/1440,1),"HH:MM")</f>
        <v/>
      </c>
      <c r="BX6" s="13">
        <f>TEXT(MOD(TIMEVALUE(BX5)+2/1440,1),"HH:MM")</f>
        <v/>
      </c>
      <c r="BY6" s="13">
        <f>TEXT(MOD(TIMEVALUE(BY5)+2/1440,1),"HH:MM")</f>
        <v/>
      </c>
      <c r="BZ6" s="13">
        <f>TEXT(MOD(TIMEVALUE(BZ5)+2/1440,1),"HH:MM")</f>
        <v/>
      </c>
      <c r="CA6" s="13">
        <f>TEXT(MOD(TIMEVALUE(CA5)+2/1440,1),"HH:MM")</f>
        <v/>
      </c>
      <c r="CB6" s="13">
        <f>TEXT(MOD(TIMEVALUE(CB5)+2/1440,1),"HH:MM")</f>
        <v/>
      </c>
      <c r="CC6" s="13">
        <f>TEXT(MOD(TIMEVALUE(CC5)+2/1440,1),"HH:MM")</f>
        <v/>
      </c>
      <c r="CD6" s="13">
        <f>TEXT(MOD(TIMEVALUE(CD5)+2/1440,1),"HH:MM")</f>
        <v/>
      </c>
      <c r="CE6" s="13">
        <f>TEXT(MOD(TIMEVALUE(CE5)+2/1440,1),"HH:MM")</f>
        <v/>
      </c>
      <c r="CF6" s="13">
        <f>TEXT(MOD(TIMEVALUE(CF5)+2/1440,1),"HH:MM")</f>
        <v/>
      </c>
      <c r="CG6" s="13">
        <f>TEXT(MOD(TIMEVALUE(CG5)+2/1440,1),"HH:MM")</f>
        <v/>
      </c>
      <c r="CH6" s="13">
        <f>TEXT(MOD(TIMEVALUE(CH5)+2/1440,1),"HH:MM")</f>
        <v/>
      </c>
      <c r="CI6" s="13">
        <f>TEXT(MOD(TIMEVALUE(CI5)+2/1440,1),"HH:MM")</f>
        <v/>
      </c>
      <c r="CJ6" s="13">
        <f>TEXT(MOD(TIMEVALUE(CJ5)+2/1440,1),"HH:MM")</f>
        <v/>
      </c>
      <c r="CK6" s="13">
        <f>TEXT(MOD(TIMEVALUE(CK5)+2/1440,1),"HH:MM")</f>
        <v/>
      </c>
      <c r="CL6" s="13">
        <f>TEXT(MOD(TIMEVALUE(CL5)+2/1440,1),"HH:MM")</f>
        <v/>
      </c>
      <c r="CM6" s="13">
        <f>TEXT(MOD(TIMEVALUE(CM5)+2/1440,1),"HH:MM")</f>
        <v/>
      </c>
      <c r="CN6" s="13">
        <f>TEXT(MOD(TIMEVALUE(CN5)+2/1440,1),"HH:MM")</f>
        <v/>
      </c>
      <c r="CO6" s="13">
        <f>TEXT(MOD(TIMEVALUE(CO5)+2/1440,1),"HH:MM")</f>
        <v/>
      </c>
      <c r="CP6" s="13">
        <f>TEXT(MOD(TIMEVALUE(CP5)+2/1440,1),"HH:MM")</f>
        <v/>
      </c>
    </row>
    <row r="7" ht="16.5" customHeight="1" s="26">
      <c r="A7" s="14" t="inlineStr">
        <is>
          <t>Campo de Mayo</t>
        </is>
      </c>
      <c r="B7" s="15">
        <f>TEXT(MOD(TIMEVALUE(B5)+4/1440,1),"HH:MM")</f>
        <v/>
      </c>
      <c r="C7" s="15">
        <f>TEXT(MOD(TIMEVALUE(C5)+4/1440,1),"HH:MM")</f>
        <v/>
      </c>
      <c r="D7" s="15">
        <f>TEXT(MOD(TIMEVALUE(D5)+4/1440,1),"HH:MM")</f>
        <v/>
      </c>
      <c r="E7" s="15">
        <f>TEXT(MOD(TIMEVALUE(E5)+4/1440,1),"HH:MM")</f>
        <v/>
      </c>
      <c r="F7" s="15">
        <f>TEXT(MOD(TIMEVALUE(F5)+4/1440,1),"HH:MM")</f>
        <v/>
      </c>
      <c r="G7" s="15">
        <f>TEXT(MOD(TIMEVALUE(G5)+4/1440,1),"HH:MM")</f>
        <v/>
      </c>
      <c r="H7" s="15">
        <f>TEXT(MOD(TIMEVALUE(H5)+4/1440,1),"HH:MM")</f>
        <v/>
      </c>
      <c r="I7" s="15">
        <f>TEXT(MOD(TIMEVALUE(I5)+4/1440,1),"HH:MM")</f>
        <v/>
      </c>
      <c r="J7" s="15">
        <f>TEXT(MOD(TIMEVALUE(J5)+4/1440,1),"HH:MM")</f>
        <v/>
      </c>
      <c r="K7" s="15">
        <f>TEXT(MOD(TIMEVALUE(K5)+4/1440,1),"HH:MM")</f>
        <v/>
      </c>
      <c r="L7" s="15">
        <f>TEXT(MOD(TIMEVALUE(L5)+4/1440,1),"HH:MM")</f>
        <v/>
      </c>
      <c r="M7" s="15">
        <f>TEXT(MOD(TIMEVALUE(M5)+4/1440,1),"HH:MM")</f>
        <v/>
      </c>
      <c r="N7" s="15">
        <f>TEXT(MOD(TIMEVALUE(N5)+4/1440,1),"HH:MM")</f>
        <v/>
      </c>
      <c r="O7" s="15">
        <f>TEXT(MOD(TIMEVALUE(O5)+4/1440,1),"HH:MM")</f>
        <v/>
      </c>
      <c r="P7" s="15">
        <f>TEXT(MOD(TIMEVALUE(P5)+4/1440,1),"HH:MM")</f>
        <v/>
      </c>
      <c r="Q7" s="15">
        <f>TEXT(MOD(TIMEVALUE(Q5)+4/1440,1),"HH:MM")</f>
        <v/>
      </c>
      <c r="R7" s="15">
        <f>TEXT(MOD(TIMEVALUE(R5)+4/1440,1),"HH:MM")</f>
        <v/>
      </c>
      <c r="S7" s="15">
        <f>TEXT(MOD(TIMEVALUE(S5)+4/1440,1),"HH:MM")</f>
        <v/>
      </c>
      <c r="T7" s="15">
        <f>TEXT(MOD(TIMEVALUE(T5)+4/1440,1),"HH:MM")</f>
        <v/>
      </c>
      <c r="U7" s="15">
        <f>TEXT(MOD(TIMEVALUE(U5)+4/1440,1),"HH:MM")</f>
        <v/>
      </c>
      <c r="V7" s="15">
        <f>TEXT(MOD(TIMEVALUE(V5)+4/1440,1),"HH:MM")</f>
        <v/>
      </c>
      <c r="W7" s="15">
        <f>TEXT(MOD(TIMEVALUE(W5)+4/1440,1),"HH:MM")</f>
        <v/>
      </c>
      <c r="X7" s="15">
        <f>TEXT(MOD(TIMEVALUE(X5)+4/1440,1),"HH:MM")</f>
        <v/>
      </c>
      <c r="Y7" s="15">
        <f>TEXT(MOD(TIMEVALUE(Y5)+4/1440,1),"HH:MM")</f>
        <v/>
      </c>
      <c r="Z7" s="15">
        <f>TEXT(MOD(TIMEVALUE(Z5)+4/1440,1),"HH:MM")</f>
        <v/>
      </c>
      <c r="AA7" s="15">
        <f>TEXT(MOD(TIMEVALUE(AA5)+4/1440,1),"HH:MM")</f>
        <v/>
      </c>
      <c r="AB7" s="15">
        <f>TEXT(MOD(TIMEVALUE(AB5)+4/1440,1),"HH:MM")</f>
        <v/>
      </c>
      <c r="AC7" s="15">
        <f>TEXT(MOD(TIMEVALUE(AC5)+4/1440,1),"HH:MM")</f>
        <v/>
      </c>
      <c r="AD7" s="15">
        <f>TEXT(MOD(TIMEVALUE(AD5)+4/1440,1),"HH:MM")</f>
        <v/>
      </c>
      <c r="AE7" s="15">
        <f>TEXT(MOD(TIMEVALUE(AE5)+4/1440,1),"HH:MM")</f>
        <v/>
      </c>
      <c r="AF7" s="15">
        <f>TEXT(MOD(TIMEVALUE(AF5)+4/1440,1),"HH:MM")</f>
        <v/>
      </c>
      <c r="AG7" s="15">
        <f>TEXT(MOD(TIMEVALUE(AG5)+4/1440,1),"HH:MM")</f>
        <v/>
      </c>
      <c r="AH7" s="15">
        <f>TEXT(MOD(TIMEVALUE(AH5)+4/1440,1),"HH:MM")</f>
        <v/>
      </c>
      <c r="AI7" s="15">
        <f>TEXT(MOD(TIMEVALUE(AI5)+4/1440,1),"HH:MM")</f>
        <v/>
      </c>
      <c r="AJ7" s="15">
        <f>TEXT(MOD(TIMEVALUE(AJ5)+4/1440,1),"HH:MM")</f>
        <v/>
      </c>
      <c r="AK7" s="15">
        <f>TEXT(MOD(TIMEVALUE(AK5)+4/1440,1),"HH:MM")</f>
        <v/>
      </c>
      <c r="AL7" s="15">
        <f>TEXT(MOD(TIMEVALUE(AL5)+4/1440,1),"HH:MM")</f>
        <v/>
      </c>
      <c r="AM7" s="15">
        <f>TEXT(MOD(TIMEVALUE(AM5)+4/1440,1),"HH:MM")</f>
        <v/>
      </c>
      <c r="AN7" s="15">
        <f>TEXT(MOD(TIMEVALUE(AN5)+4/1440,1),"HH:MM")</f>
        <v/>
      </c>
      <c r="AO7" s="15">
        <f>TEXT(MOD(TIMEVALUE(AO5)+4/1440,1),"HH:MM")</f>
        <v/>
      </c>
      <c r="AP7" s="15">
        <f>TEXT(MOD(TIMEVALUE(AP5)+4/1440,1),"HH:MM")</f>
        <v/>
      </c>
      <c r="AQ7" s="15">
        <f>TEXT(MOD(TIMEVALUE(AQ5)+4/1440,1),"HH:MM")</f>
        <v/>
      </c>
      <c r="AR7" s="15">
        <f>TEXT(MOD(TIMEVALUE(AR5)+4/1440,1),"HH:MM")</f>
        <v/>
      </c>
      <c r="AS7" s="15">
        <f>TEXT(MOD(TIMEVALUE(AS5)+4/1440,1),"HH:MM")</f>
        <v/>
      </c>
      <c r="AT7" s="15">
        <f>TEXT(MOD(TIMEVALUE(AT5)+4/1440,1),"HH:MM")</f>
        <v/>
      </c>
      <c r="AU7" s="15">
        <f>TEXT(MOD(TIMEVALUE(AU5)+4/1440,1),"HH:MM")</f>
        <v/>
      </c>
      <c r="AV7" s="15">
        <f>TEXT(MOD(TIMEVALUE(AV5)+4/1440,1),"HH:MM")</f>
        <v/>
      </c>
      <c r="AW7" s="15">
        <f>TEXT(MOD(TIMEVALUE(AW5)+4/1440,1),"HH:MM")</f>
        <v/>
      </c>
      <c r="AX7" s="15">
        <f>TEXT(MOD(TIMEVALUE(AX5)+4/1440,1),"HH:MM")</f>
        <v/>
      </c>
      <c r="AY7" s="15">
        <f>TEXT(MOD(TIMEVALUE(AY5)+4/1440,1),"HH:MM")</f>
        <v/>
      </c>
      <c r="AZ7" s="15">
        <f>TEXT(MOD(TIMEVALUE(AZ5)+4/1440,1),"HH:MM")</f>
        <v/>
      </c>
      <c r="BA7" s="15">
        <f>TEXT(MOD(TIMEVALUE(BA5)+4/1440,1),"HH:MM")</f>
        <v/>
      </c>
      <c r="BB7" s="15">
        <f>TEXT(MOD(TIMEVALUE(BB5)+4/1440,1),"HH:MM")</f>
        <v/>
      </c>
      <c r="BC7" s="15">
        <f>TEXT(MOD(TIMEVALUE(BC5)+4/1440,1),"HH:MM")</f>
        <v/>
      </c>
      <c r="BD7" s="15">
        <f>TEXT(MOD(TIMEVALUE(BD5)+4/1440,1),"HH:MM")</f>
        <v/>
      </c>
      <c r="BE7" s="15">
        <f>TEXT(MOD(TIMEVALUE(BE5)+4/1440,1),"HH:MM")</f>
        <v/>
      </c>
      <c r="BF7" s="15">
        <f>TEXT(MOD(TIMEVALUE(BF5)+4/1440,1),"HH:MM")</f>
        <v/>
      </c>
      <c r="BG7" s="15">
        <f>TEXT(MOD(TIMEVALUE(BG5)+4/1440,1),"HH:MM")</f>
        <v/>
      </c>
      <c r="BH7" s="15">
        <f>TEXT(MOD(TIMEVALUE(BH5)+4/1440,1),"HH:MM")</f>
        <v/>
      </c>
      <c r="BI7" s="15">
        <f>TEXT(MOD(TIMEVALUE(BI5)+4/1440,1),"HH:MM")</f>
        <v/>
      </c>
      <c r="BJ7" s="15">
        <f>TEXT(MOD(TIMEVALUE(BJ5)+4/1440,1),"HH:MM")</f>
        <v/>
      </c>
      <c r="BK7" s="15">
        <f>TEXT(MOD(TIMEVALUE(BK5)+4/1440,1),"HH:MM")</f>
        <v/>
      </c>
      <c r="BL7" s="15">
        <f>TEXT(MOD(TIMEVALUE(BL5)+4/1440,1),"HH:MM")</f>
        <v/>
      </c>
      <c r="BM7" s="15">
        <f>TEXT(MOD(TIMEVALUE(BM5)+4/1440,1),"HH:MM")</f>
        <v/>
      </c>
      <c r="BN7" s="15">
        <f>TEXT(MOD(TIMEVALUE(BN5)+4/1440,1),"HH:MM")</f>
        <v/>
      </c>
      <c r="BO7" s="15">
        <f>TEXT(MOD(TIMEVALUE(BO5)+4/1440,1),"HH:MM")</f>
        <v/>
      </c>
      <c r="BP7" s="15">
        <f>TEXT(MOD(TIMEVALUE(BP5)+4/1440,1),"HH:MM")</f>
        <v/>
      </c>
      <c r="BQ7" s="15">
        <f>TEXT(MOD(TIMEVALUE(BQ5)+4/1440,1),"HH:MM")</f>
        <v/>
      </c>
      <c r="BR7" s="15">
        <f>TEXT(MOD(TIMEVALUE(BR5)+4/1440,1),"HH:MM")</f>
        <v/>
      </c>
      <c r="BS7" s="15">
        <f>TEXT(MOD(TIMEVALUE(BS5)+4/1440,1),"HH:MM")</f>
        <v/>
      </c>
      <c r="BT7" s="15">
        <f>TEXT(MOD(TIMEVALUE(BT5)+4/1440,1),"HH:MM")</f>
        <v/>
      </c>
      <c r="BU7" s="15">
        <f>TEXT(MOD(TIMEVALUE(BU5)+4/1440,1),"HH:MM")</f>
        <v/>
      </c>
      <c r="BV7" s="15">
        <f>TEXT(MOD(TIMEVALUE(BV5)+4/1440,1),"HH:MM")</f>
        <v/>
      </c>
      <c r="BW7" s="15">
        <f>TEXT(MOD(TIMEVALUE(BW5)+4/1440,1),"HH:MM")</f>
        <v/>
      </c>
      <c r="BX7" s="15">
        <f>TEXT(MOD(TIMEVALUE(BX5)+4/1440,1),"HH:MM")</f>
        <v/>
      </c>
      <c r="BY7" s="15">
        <f>TEXT(MOD(TIMEVALUE(BY5)+4/1440,1),"HH:MM")</f>
        <v/>
      </c>
      <c r="BZ7" s="15">
        <f>TEXT(MOD(TIMEVALUE(BZ5)+4/1440,1),"HH:MM")</f>
        <v/>
      </c>
      <c r="CA7" s="15">
        <f>TEXT(MOD(TIMEVALUE(CA5)+4/1440,1),"HH:MM")</f>
        <v/>
      </c>
      <c r="CB7" s="15">
        <f>TEXT(MOD(TIMEVALUE(CB5)+4/1440,1),"HH:MM")</f>
        <v/>
      </c>
      <c r="CC7" s="15">
        <f>TEXT(MOD(TIMEVALUE(CC5)+4/1440,1),"HH:MM")</f>
        <v/>
      </c>
      <c r="CD7" s="15">
        <f>TEXT(MOD(TIMEVALUE(CD5)+4/1440,1),"HH:MM")</f>
        <v/>
      </c>
      <c r="CE7" s="15">
        <f>TEXT(MOD(TIMEVALUE(CE5)+4/1440,1),"HH:MM")</f>
        <v/>
      </c>
      <c r="CF7" s="15">
        <f>TEXT(MOD(TIMEVALUE(CF5)+4/1440,1),"HH:MM")</f>
        <v/>
      </c>
      <c r="CG7" s="15">
        <f>TEXT(MOD(TIMEVALUE(CG5)+4/1440,1),"HH:MM")</f>
        <v/>
      </c>
      <c r="CH7" s="15">
        <f>TEXT(MOD(TIMEVALUE(CH5)+4/1440,1),"HH:MM")</f>
        <v/>
      </c>
      <c r="CI7" s="15">
        <f>TEXT(MOD(TIMEVALUE(CI5)+4/1440,1),"HH:MM")</f>
        <v/>
      </c>
      <c r="CJ7" s="15">
        <f>TEXT(MOD(TIMEVALUE(CJ5)+4/1440,1),"HH:MM")</f>
        <v/>
      </c>
      <c r="CK7" s="15">
        <f>TEXT(MOD(TIMEVALUE(CK5)+4/1440,1),"HH:MM")</f>
        <v/>
      </c>
      <c r="CL7" s="15">
        <f>TEXT(MOD(TIMEVALUE(CL5)+4/1440,1),"HH:MM")</f>
        <v/>
      </c>
      <c r="CM7" s="15">
        <f>TEXT(MOD(TIMEVALUE(CM5)+4/1440,1),"HH:MM")</f>
        <v/>
      </c>
      <c r="CN7" s="15">
        <f>TEXT(MOD(TIMEVALUE(CN5)+4/1440,1),"HH:MM")</f>
        <v/>
      </c>
      <c r="CO7" s="15">
        <f>TEXT(MOD(TIMEVALUE(CO5)+4/1440,1),"HH:MM")</f>
        <v/>
      </c>
      <c r="CP7" s="15">
        <f>TEXT(MOD(TIMEVALUE(CP5)+4/1440,1),"HH:MM")</f>
        <v/>
      </c>
    </row>
    <row r="8" ht="16.5" customHeight="1" s="26">
      <c r="A8" s="12" t="inlineStr">
        <is>
          <t>Teniente Agneta</t>
        </is>
      </c>
      <c r="B8" s="13">
        <f>TEXT(MOD(TIMEVALUE(B5)+5/1440,1),"HH:MM")</f>
        <v/>
      </c>
      <c r="C8" s="13">
        <f>TEXT(MOD(TIMEVALUE(C5)+5/1440,1),"HH:MM")</f>
        <v/>
      </c>
      <c r="D8" s="13">
        <f>TEXT(MOD(TIMEVALUE(D5)+5/1440,1),"HH:MM")</f>
        <v/>
      </c>
      <c r="E8" s="13">
        <f>TEXT(MOD(TIMEVALUE(E5)+5/1440,1),"HH:MM")</f>
        <v/>
      </c>
      <c r="F8" s="13">
        <f>TEXT(MOD(TIMEVALUE(F5)+5/1440,1),"HH:MM")</f>
        <v/>
      </c>
      <c r="G8" s="13">
        <f>TEXT(MOD(TIMEVALUE(G5)+5/1440,1),"HH:MM")</f>
        <v/>
      </c>
      <c r="H8" s="13">
        <f>TEXT(MOD(TIMEVALUE(H5)+5/1440,1),"HH:MM")</f>
        <v/>
      </c>
      <c r="I8" s="13">
        <f>TEXT(MOD(TIMEVALUE(I5)+5/1440,1),"HH:MM")</f>
        <v/>
      </c>
      <c r="J8" s="13">
        <f>TEXT(MOD(TIMEVALUE(J5)+5/1440,1),"HH:MM")</f>
        <v/>
      </c>
      <c r="K8" s="13">
        <f>TEXT(MOD(TIMEVALUE(K5)+5/1440,1),"HH:MM")</f>
        <v/>
      </c>
      <c r="L8" s="13">
        <f>TEXT(MOD(TIMEVALUE(L5)+5/1440,1),"HH:MM")</f>
        <v/>
      </c>
      <c r="M8" s="13">
        <f>TEXT(MOD(TIMEVALUE(M5)+5/1440,1),"HH:MM")</f>
        <v/>
      </c>
      <c r="N8" s="13">
        <f>TEXT(MOD(TIMEVALUE(N5)+5/1440,1),"HH:MM")</f>
        <v/>
      </c>
      <c r="O8" s="13">
        <f>TEXT(MOD(TIMEVALUE(O5)+5/1440,1),"HH:MM")</f>
        <v/>
      </c>
      <c r="P8" s="13">
        <f>TEXT(MOD(TIMEVALUE(P5)+5/1440,1),"HH:MM")</f>
        <v/>
      </c>
      <c r="Q8" s="13">
        <f>TEXT(MOD(TIMEVALUE(Q5)+5/1440,1),"HH:MM")</f>
        <v/>
      </c>
      <c r="R8" s="13">
        <f>TEXT(MOD(TIMEVALUE(R5)+5/1440,1),"HH:MM")</f>
        <v/>
      </c>
      <c r="S8" s="13">
        <f>TEXT(MOD(TIMEVALUE(S5)+5/1440,1),"HH:MM")</f>
        <v/>
      </c>
      <c r="T8" s="13">
        <f>TEXT(MOD(TIMEVALUE(T5)+5/1440,1),"HH:MM")</f>
        <v/>
      </c>
      <c r="U8" s="13">
        <f>TEXT(MOD(TIMEVALUE(U5)+5/1440,1),"HH:MM")</f>
        <v/>
      </c>
      <c r="V8" s="13">
        <f>TEXT(MOD(TIMEVALUE(V5)+5/1440,1),"HH:MM")</f>
        <v/>
      </c>
      <c r="W8" s="13">
        <f>TEXT(MOD(TIMEVALUE(W5)+5/1440,1),"HH:MM")</f>
        <v/>
      </c>
      <c r="X8" s="13">
        <f>TEXT(MOD(TIMEVALUE(X5)+5/1440,1),"HH:MM")</f>
        <v/>
      </c>
      <c r="Y8" s="13">
        <f>TEXT(MOD(TIMEVALUE(Y5)+5/1440,1),"HH:MM")</f>
        <v/>
      </c>
      <c r="Z8" s="13">
        <f>TEXT(MOD(TIMEVALUE(Z5)+5/1440,1),"HH:MM")</f>
        <v/>
      </c>
      <c r="AA8" s="13">
        <f>TEXT(MOD(TIMEVALUE(AA5)+5/1440,1),"HH:MM")</f>
        <v/>
      </c>
      <c r="AB8" s="13">
        <f>TEXT(MOD(TIMEVALUE(AB5)+5/1440,1),"HH:MM")</f>
        <v/>
      </c>
      <c r="AC8" s="13">
        <f>TEXT(MOD(TIMEVALUE(AC5)+5/1440,1),"HH:MM")</f>
        <v/>
      </c>
      <c r="AD8" s="13">
        <f>TEXT(MOD(TIMEVALUE(AD5)+5/1440,1),"HH:MM")</f>
        <v/>
      </c>
      <c r="AE8" s="13">
        <f>TEXT(MOD(TIMEVALUE(AE5)+5/1440,1),"HH:MM")</f>
        <v/>
      </c>
      <c r="AF8" s="13">
        <f>TEXT(MOD(TIMEVALUE(AF5)+5/1440,1),"HH:MM")</f>
        <v/>
      </c>
      <c r="AG8" s="13">
        <f>TEXT(MOD(TIMEVALUE(AG5)+5/1440,1),"HH:MM")</f>
        <v/>
      </c>
      <c r="AH8" s="13">
        <f>TEXT(MOD(TIMEVALUE(AH5)+5/1440,1),"HH:MM")</f>
        <v/>
      </c>
      <c r="AI8" s="13">
        <f>TEXT(MOD(TIMEVALUE(AI5)+5/1440,1),"HH:MM")</f>
        <v/>
      </c>
      <c r="AJ8" s="13">
        <f>TEXT(MOD(TIMEVALUE(AJ5)+5/1440,1),"HH:MM")</f>
        <v/>
      </c>
      <c r="AK8" s="13">
        <f>TEXT(MOD(TIMEVALUE(AK5)+5/1440,1),"HH:MM")</f>
        <v/>
      </c>
      <c r="AL8" s="13">
        <f>TEXT(MOD(TIMEVALUE(AL5)+5/1440,1),"HH:MM")</f>
        <v/>
      </c>
      <c r="AM8" s="13">
        <f>TEXT(MOD(TIMEVALUE(AM5)+5/1440,1),"HH:MM")</f>
        <v/>
      </c>
      <c r="AN8" s="13">
        <f>TEXT(MOD(TIMEVALUE(AN5)+5/1440,1),"HH:MM")</f>
        <v/>
      </c>
      <c r="AO8" s="13">
        <f>TEXT(MOD(TIMEVALUE(AO5)+5/1440,1),"HH:MM")</f>
        <v/>
      </c>
      <c r="AP8" s="13">
        <f>TEXT(MOD(TIMEVALUE(AP5)+5/1440,1),"HH:MM")</f>
        <v/>
      </c>
      <c r="AQ8" s="13">
        <f>TEXT(MOD(TIMEVALUE(AQ5)+5/1440,1),"HH:MM")</f>
        <v/>
      </c>
      <c r="AR8" s="13">
        <f>TEXT(MOD(TIMEVALUE(AR5)+5/1440,1),"HH:MM")</f>
        <v/>
      </c>
      <c r="AS8" s="13">
        <f>TEXT(MOD(TIMEVALUE(AS5)+5/1440,1),"HH:MM")</f>
        <v/>
      </c>
      <c r="AT8" s="13">
        <f>TEXT(MOD(TIMEVALUE(AT5)+5/1440,1),"HH:MM")</f>
        <v/>
      </c>
      <c r="AU8" s="13">
        <f>TEXT(MOD(TIMEVALUE(AU5)+5/1440,1),"HH:MM")</f>
        <v/>
      </c>
      <c r="AV8" s="13">
        <f>TEXT(MOD(TIMEVALUE(AV5)+5/1440,1),"HH:MM")</f>
        <v/>
      </c>
      <c r="AW8" s="13">
        <f>TEXT(MOD(TIMEVALUE(AW5)+5/1440,1),"HH:MM")</f>
        <v/>
      </c>
      <c r="AX8" s="13">
        <f>TEXT(MOD(TIMEVALUE(AX5)+5/1440,1),"HH:MM")</f>
        <v/>
      </c>
      <c r="AY8" s="13">
        <f>TEXT(MOD(TIMEVALUE(AY5)+5/1440,1),"HH:MM")</f>
        <v/>
      </c>
      <c r="AZ8" s="13">
        <f>TEXT(MOD(TIMEVALUE(AZ5)+5/1440,1),"HH:MM")</f>
        <v/>
      </c>
      <c r="BA8" s="13">
        <f>TEXT(MOD(TIMEVALUE(BA5)+5/1440,1),"HH:MM")</f>
        <v/>
      </c>
      <c r="BB8" s="13">
        <f>TEXT(MOD(TIMEVALUE(BB5)+5/1440,1),"HH:MM")</f>
        <v/>
      </c>
      <c r="BC8" s="13">
        <f>TEXT(MOD(TIMEVALUE(BC5)+5/1440,1),"HH:MM")</f>
        <v/>
      </c>
      <c r="BD8" s="13">
        <f>TEXT(MOD(TIMEVALUE(BD5)+5/1440,1),"HH:MM")</f>
        <v/>
      </c>
      <c r="BE8" s="13">
        <f>TEXT(MOD(TIMEVALUE(BE5)+5/1440,1),"HH:MM")</f>
        <v/>
      </c>
      <c r="BF8" s="13">
        <f>TEXT(MOD(TIMEVALUE(BF5)+5/1440,1),"HH:MM")</f>
        <v/>
      </c>
      <c r="BG8" s="13">
        <f>TEXT(MOD(TIMEVALUE(BG5)+5/1440,1),"HH:MM")</f>
        <v/>
      </c>
      <c r="BH8" s="13">
        <f>TEXT(MOD(TIMEVALUE(BH5)+5/1440,1),"HH:MM")</f>
        <v/>
      </c>
      <c r="BI8" s="13">
        <f>TEXT(MOD(TIMEVALUE(BI5)+5/1440,1),"HH:MM")</f>
        <v/>
      </c>
      <c r="BJ8" s="13">
        <f>TEXT(MOD(TIMEVALUE(BJ5)+5/1440,1),"HH:MM")</f>
        <v/>
      </c>
      <c r="BK8" s="13">
        <f>TEXT(MOD(TIMEVALUE(BK5)+5/1440,1),"HH:MM")</f>
        <v/>
      </c>
      <c r="BL8" s="13">
        <f>TEXT(MOD(TIMEVALUE(BL5)+5/1440,1),"HH:MM")</f>
        <v/>
      </c>
      <c r="BM8" s="13">
        <f>TEXT(MOD(TIMEVALUE(BM5)+5/1440,1),"HH:MM")</f>
        <v/>
      </c>
      <c r="BN8" s="13">
        <f>TEXT(MOD(TIMEVALUE(BN5)+5/1440,1),"HH:MM")</f>
        <v/>
      </c>
      <c r="BO8" s="13">
        <f>TEXT(MOD(TIMEVALUE(BO5)+5/1440,1),"HH:MM")</f>
        <v/>
      </c>
      <c r="BP8" s="13">
        <f>TEXT(MOD(TIMEVALUE(BP5)+5/1440,1),"HH:MM")</f>
        <v/>
      </c>
      <c r="BQ8" s="13">
        <f>TEXT(MOD(TIMEVALUE(BQ5)+5/1440,1),"HH:MM")</f>
        <v/>
      </c>
      <c r="BR8" s="13">
        <f>TEXT(MOD(TIMEVALUE(BR5)+5/1440,1),"HH:MM")</f>
        <v/>
      </c>
      <c r="BS8" s="13">
        <f>TEXT(MOD(TIMEVALUE(BS5)+5/1440,1),"HH:MM")</f>
        <v/>
      </c>
      <c r="BT8" s="13">
        <f>TEXT(MOD(TIMEVALUE(BT5)+5/1440,1),"HH:MM")</f>
        <v/>
      </c>
      <c r="BU8" s="13">
        <f>TEXT(MOD(TIMEVALUE(BU5)+5/1440,1),"HH:MM")</f>
        <v/>
      </c>
      <c r="BV8" s="13">
        <f>TEXT(MOD(TIMEVALUE(BV5)+5/1440,1),"HH:MM")</f>
        <v/>
      </c>
      <c r="BW8" s="13">
        <f>TEXT(MOD(TIMEVALUE(BW5)+5/1440,1),"HH:MM")</f>
        <v/>
      </c>
      <c r="BX8" s="13">
        <f>TEXT(MOD(TIMEVALUE(BX5)+5/1440,1),"HH:MM")</f>
        <v/>
      </c>
      <c r="BY8" s="13">
        <f>TEXT(MOD(TIMEVALUE(BY5)+5/1440,1),"HH:MM")</f>
        <v/>
      </c>
      <c r="BZ8" s="13">
        <f>TEXT(MOD(TIMEVALUE(BZ5)+5/1440,1),"HH:MM")</f>
        <v/>
      </c>
      <c r="CA8" s="13">
        <f>TEXT(MOD(TIMEVALUE(CA5)+5/1440,1),"HH:MM")</f>
        <v/>
      </c>
      <c r="CB8" s="13">
        <f>TEXT(MOD(TIMEVALUE(CB5)+5/1440,1),"HH:MM")</f>
        <v/>
      </c>
      <c r="CC8" s="13">
        <f>TEXT(MOD(TIMEVALUE(CC5)+5/1440,1),"HH:MM")</f>
        <v/>
      </c>
      <c r="CD8" s="13">
        <f>TEXT(MOD(TIMEVALUE(CD5)+5/1440,1),"HH:MM")</f>
        <v/>
      </c>
      <c r="CE8" s="13">
        <f>TEXT(MOD(TIMEVALUE(CE5)+5/1440,1),"HH:MM")</f>
        <v/>
      </c>
      <c r="CF8" s="13">
        <f>TEXT(MOD(TIMEVALUE(CF5)+5/1440,1),"HH:MM")</f>
        <v/>
      </c>
      <c r="CG8" s="13">
        <f>TEXT(MOD(TIMEVALUE(CG5)+5/1440,1),"HH:MM")</f>
        <v/>
      </c>
      <c r="CH8" s="13">
        <f>TEXT(MOD(TIMEVALUE(CH5)+5/1440,1),"HH:MM")</f>
        <v/>
      </c>
      <c r="CI8" s="13">
        <f>TEXT(MOD(TIMEVALUE(CI5)+5/1440,1),"HH:MM")</f>
        <v/>
      </c>
      <c r="CJ8" s="13">
        <f>TEXT(MOD(TIMEVALUE(CJ5)+5/1440,1),"HH:MM")</f>
        <v/>
      </c>
      <c r="CK8" s="13">
        <f>TEXT(MOD(TIMEVALUE(CK5)+5/1440,1),"HH:MM")</f>
        <v/>
      </c>
      <c r="CL8" s="13">
        <f>TEXT(MOD(TIMEVALUE(CL5)+5/1440,1),"HH:MM")</f>
        <v/>
      </c>
      <c r="CM8" s="13">
        <f>TEXT(MOD(TIMEVALUE(CM5)+5/1440,1),"HH:MM")</f>
        <v/>
      </c>
      <c r="CN8" s="13">
        <f>TEXT(MOD(TIMEVALUE(CN5)+5/1440,1),"HH:MM")</f>
        <v/>
      </c>
      <c r="CO8" s="13">
        <f>TEXT(MOD(TIMEVALUE(CO5)+5/1440,1),"HH:MM")</f>
        <v/>
      </c>
      <c r="CP8" s="13">
        <f>TEXT(MOD(TIMEVALUE(CP5)+5/1440,1),"HH:MM")</f>
        <v/>
      </c>
    </row>
    <row r="9" ht="16.5" customHeight="1" s="26">
      <c r="A9" s="14" t="inlineStr">
        <is>
          <t>Capitán Lozano</t>
        </is>
      </c>
      <c r="B9" s="15">
        <f>TEXT(MOD(TIMEVALUE(B5)+7/1440,1),"HH:MM")</f>
        <v/>
      </c>
      <c r="C9" s="15">
        <f>TEXT(MOD(TIMEVALUE(C5)+7/1440,1),"HH:MM")</f>
        <v/>
      </c>
      <c r="D9" s="15">
        <f>TEXT(MOD(TIMEVALUE(D5)+7/1440,1),"HH:MM")</f>
        <v/>
      </c>
      <c r="E9" s="15">
        <f>TEXT(MOD(TIMEVALUE(E5)+7/1440,1),"HH:MM")</f>
        <v/>
      </c>
      <c r="F9" s="15">
        <f>TEXT(MOD(TIMEVALUE(F5)+7/1440,1),"HH:MM")</f>
        <v/>
      </c>
      <c r="G9" s="15">
        <f>TEXT(MOD(TIMEVALUE(G5)+7/1440,1),"HH:MM")</f>
        <v/>
      </c>
      <c r="H9" s="15">
        <f>TEXT(MOD(TIMEVALUE(H5)+7/1440,1),"HH:MM")</f>
        <v/>
      </c>
      <c r="I9" s="15">
        <f>TEXT(MOD(TIMEVALUE(I5)+7/1440,1),"HH:MM")</f>
        <v/>
      </c>
      <c r="J9" s="15">
        <f>TEXT(MOD(TIMEVALUE(J5)+7/1440,1),"HH:MM")</f>
        <v/>
      </c>
      <c r="K9" s="15">
        <f>TEXT(MOD(TIMEVALUE(K5)+7/1440,1),"HH:MM")</f>
        <v/>
      </c>
      <c r="L9" s="15">
        <f>TEXT(MOD(TIMEVALUE(L5)+7/1440,1),"HH:MM")</f>
        <v/>
      </c>
      <c r="M9" s="15">
        <f>TEXT(MOD(TIMEVALUE(M5)+7/1440,1),"HH:MM")</f>
        <v/>
      </c>
      <c r="N9" s="15">
        <f>TEXT(MOD(TIMEVALUE(N5)+7/1440,1),"HH:MM")</f>
        <v/>
      </c>
      <c r="O9" s="15">
        <f>TEXT(MOD(TIMEVALUE(O5)+7/1440,1),"HH:MM")</f>
        <v/>
      </c>
      <c r="P9" s="15">
        <f>TEXT(MOD(TIMEVALUE(P5)+7/1440,1),"HH:MM")</f>
        <v/>
      </c>
      <c r="Q9" s="15">
        <f>TEXT(MOD(TIMEVALUE(Q5)+7/1440,1),"HH:MM")</f>
        <v/>
      </c>
      <c r="R9" s="15">
        <f>TEXT(MOD(TIMEVALUE(R5)+7/1440,1),"HH:MM")</f>
        <v/>
      </c>
      <c r="S9" s="15">
        <f>TEXT(MOD(TIMEVALUE(S5)+7/1440,1),"HH:MM")</f>
        <v/>
      </c>
      <c r="T9" s="15">
        <f>TEXT(MOD(TIMEVALUE(T5)+7/1440,1),"HH:MM")</f>
        <v/>
      </c>
      <c r="U9" s="15">
        <f>TEXT(MOD(TIMEVALUE(U5)+7/1440,1),"HH:MM")</f>
        <v/>
      </c>
      <c r="V9" s="15">
        <f>TEXT(MOD(TIMEVALUE(V5)+7/1440,1),"HH:MM")</f>
        <v/>
      </c>
      <c r="W9" s="15">
        <f>TEXT(MOD(TIMEVALUE(W5)+7/1440,1),"HH:MM")</f>
        <v/>
      </c>
      <c r="X9" s="15">
        <f>TEXT(MOD(TIMEVALUE(X5)+7/1440,1),"HH:MM")</f>
        <v/>
      </c>
      <c r="Y9" s="15">
        <f>TEXT(MOD(TIMEVALUE(Y5)+7/1440,1),"HH:MM")</f>
        <v/>
      </c>
      <c r="Z9" s="15">
        <f>TEXT(MOD(TIMEVALUE(Z5)+7/1440,1),"HH:MM")</f>
        <v/>
      </c>
      <c r="AA9" s="15">
        <f>TEXT(MOD(TIMEVALUE(AA5)+7/1440,1),"HH:MM")</f>
        <v/>
      </c>
      <c r="AB9" s="15">
        <f>TEXT(MOD(TIMEVALUE(AB5)+7/1440,1),"HH:MM")</f>
        <v/>
      </c>
      <c r="AC9" s="15">
        <f>TEXT(MOD(TIMEVALUE(AC5)+7/1440,1),"HH:MM")</f>
        <v/>
      </c>
      <c r="AD9" s="15">
        <f>TEXT(MOD(TIMEVALUE(AD5)+7/1440,1),"HH:MM")</f>
        <v/>
      </c>
      <c r="AE9" s="15">
        <f>TEXT(MOD(TIMEVALUE(AE5)+7/1440,1),"HH:MM")</f>
        <v/>
      </c>
      <c r="AF9" s="15">
        <f>TEXT(MOD(TIMEVALUE(AF5)+7/1440,1),"HH:MM")</f>
        <v/>
      </c>
      <c r="AG9" s="15">
        <f>TEXT(MOD(TIMEVALUE(AG5)+7/1440,1),"HH:MM")</f>
        <v/>
      </c>
      <c r="AH9" s="15">
        <f>TEXT(MOD(TIMEVALUE(AH5)+7/1440,1),"HH:MM")</f>
        <v/>
      </c>
      <c r="AI9" s="15">
        <f>TEXT(MOD(TIMEVALUE(AI5)+7/1440,1),"HH:MM")</f>
        <v/>
      </c>
      <c r="AJ9" s="15">
        <f>TEXT(MOD(TIMEVALUE(AJ5)+7/1440,1),"HH:MM")</f>
        <v/>
      </c>
      <c r="AK9" s="15">
        <f>TEXT(MOD(TIMEVALUE(AK5)+7/1440,1),"HH:MM")</f>
        <v/>
      </c>
      <c r="AL9" s="15">
        <f>TEXT(MOD(TIMEVALUE(AL5)+7/1440,1),"HH:MM")</f>
        <v/>
      </c>
      <c r="AM9" s="15">
        <f>TEXT(MOD(TIMEVALUE(AM5)+7/1440,1),"HH:MM")</f>
        <v/>
      </c>
      <c r="AN9" s="15">
        <f>TEXT(MOD(TIMEVALUE(AN5)+7/1440,1),"HH:MM")</f>
        <v/>
      </c>
      <c r="AO9" s="15">
        <f>TEXT(MOD(TIMEVALUE(AO5)+7/1440,1),"HH:MM")</f>
        <v/>
      </c>
      <c r="AP9" s="15">
        <f>TEXT(MOD(TIMEVALUE(AP5)+7/1440,1),"HH:MM")</f>
        <v/>
      </c>
      <c r="AQ9" s="15">
        <f>TEXT(MOD(TIMEVALUE(AQ5)+7/1440,1),"HH:MM")</f>
        <v/>
      </c>
      <c r="AR9" s="15">
        <f>TEXT(MOD(TIMEVALUE(AR5)+7/1440,1),"HH:MM")</f>
        <v/>
      </c>
      <c r="AS9" s="15">
        <f>TEXT(MOD(TIMEVALUE(AS5)+7/1440,1),"HH:MM")</f>
        <v/>
      </c>
      <c r="AT9" s="15">
        <f>TEXT(MOD(TIMEVALUE(AT5)+7/1440,1),"HH:MM")</f>
        <v/>
      </c>
      <c r="AU9" s="15">
        <f>TEXT(MOD(TIMEVALUE(AU5)+7/1440,1),"HH:MM")</f>
        <v/>
      </c>
      <c r="AV9" s="15">
        <f>TEXT(MOD(TIMEVALUE(AV5)+7/1440,1),"HH:MM")</f>
        <v/>
      </c>
      <c r="AW9" s="15">
        <f>TEXT(MOD(TIMEVALUE(AW5)+7/1440,1),"HH:MM")</f>
        <v/>
      </c>
      <c r="AX9" s="15">
        <f>TEXT(MOD(TIMEVALUE(AX5)+7/1440,1),"HH:MM")</f>
        <v/>
      </c>
      <c r="AY9" s="15">
        <f>TEXT(MOD(TIMEVALUE(AY5)+7/1440,1),"HH:MM")</f>
        <v/>
      </c>
      <c r="AZ9" s="15">
        <f>TEXT(MOD(TIMEVALUE(AZ5)+7/1440,1),"HH:MM")</f>
        <v/>
      </c>
      <c r="BA9" s="15">
        <f>TEXT(MOD(TIMEVALUE(BA5)+7/1440,1),"HH:MM")</f>
        <v/>
      </c>
      <c r="BB9" s="15">
        <f>TEXT(MOD(TIMEVALUE(BB5)+7/1440,1),"HH:MM")</f>
        <v/>
      </c>
      <c r="BC9" s="15">
        <f>TEXT(MOD(TIMEVALUE(BC5)+7/1440,1),"HH:MM")</f>
        <v/>
      </c>
      <c r="BD9" s="15">
        <f>TEXT(MOD(TIMEVALUE(BD5)+7/1440,1),"HH:MM")</f>
        <v/>
      </c>
      <c r="BE9" s="15">
        <f>TEXT(MOD(TIMEVALUE(BE5)+7/1440,1),"HH:MM")</f>
        <v/>
      </c>
      <c r="BF9" s="15">
        <f>TEXT(MOD(TIMEVALUE(BF5)+7/1440,1),"HH:MM")</f>
        <v/>
      </c>
      <c r="BG9" s="15">
        <f>TEXT(MOD(TIMEVALUE(BG5)+7/1440,1),"HH:MM")</f>
        <v/>
      </c>
      <c r="BH9" s="15">
        <f>TEXT(MOD(TIMEVALUE(BH5)+7/1440,1),"HH:MM")</f>
        <v/>
      </c>
      <c r="BI9" s="15">
        <f>TEXT(MOD(TIMEVALUE(BI5)+7/1440,1),"HH:MM")</f>
        <v/>
      </c>
      <c r="BJ9" s="15">
        <f>TEXT(MOD(TIMEVALUE(BJ5)+7/1440,1),"HH:MM")</f>
        <v/>
      </c>
      <c r="BK9" s="15">
        <f>TEXT(MOD(TIMEVALUE(BK5)+7/1440,1),"HH:MM")</f>
        <v/>
      </c>
      <c r="BL9" s="15">
        <f>TEXT(MOD(TIMEVALUE(BL5)+7/1440,1),"HH:MM")</f>
        <v/>
      </c>
      <c r="BM9" s="15">
        <f>TEXT(MOD(TIMEVALUE(BM5)+7/1440,1),"HH:MM")</f>
        <v/>
      </c>
      <c r="BN9" s="15">
        <f>TEXT(MOD(TIMEVALUE(BN5)+7/1440,1),"HH:MM")</f>
        <v/>
      </c>
      <c r="BO9" s="15">
        <f>TEXT(MOD(TIMEVALUE(BO5)+7/1440,1),"HH:MM")</f>
        <v/>
      </c>
      <c r="BP9" s="15">
        <f>TEXT(MOD(TIMEVALUE(BP5)+7/1440,1),"HH:MM")</f>
        <v/>
      </c>
      <c r="BQ9" s="15">
        <f>TEXT(MOD(TIMEVALUE(BQ5)+7/1440,1),"HH:MM")</f>
        <v/>
      </c>
      <c r="BR9" s="15">
        <f>TEXT(MOD(TIMEVALUE(BR5)+7/1440,1),"HH:MM")</f>
        <v/>
      </c>
      <c r="BS9" s="15">
        <f>TEXT(MOD(TIMEVALUE(BS5)+7/1440,1),"HH:MM")</f>
        <v/>
      </c>
      <c r="BT9" s="15">
        <f>TEXT(MOD(TIMEVALUE(BT5)+7/1440,1),"HH:MM")</f>
        <v/>
      </c>
      <c r="BU9" s="15">
        <f>TEXT(MOD(TIMEVALUE(BU5)+7/1440,1),"HH:MM")</f>
        <v/>
      </c>
      <c r="BV9" s="15">
        <f>TEXT(MOD(TIMEVALUE(BV5)+7/1440,1),"HH:MM")</f>
        <v/>
      </c>
      <c r="BW9" s="15">
        <f>TEXT(MOD(TIMEVALUE(BW5)+7/1440,1),"HH:MM")</f>
        <v/>
      </c>
      <c r="BX9" s="15">
        <f>TEXT(MOD(TIMEVALUE(BX5)+7/1440,1),"HH:MM")</f>
        <v/>
      </c>
      <c r="BY9" s="15">
        <f>TEXT(MOD(TIMEVALUE(BY5)+7/1440,1),"HH:MM")</f>
        <v/>
      </c>
      <c r="BZ9" s="15">
        <f>TEXT(MOD(TIMEVALUE(BZ5)+7/1440,1),"HH:MM")</f>
        <v/>
      </c>
      <c r="CA9" s="15">
        <f>TEXT(MOD(TIMEVALUE(CA5)+7/1440,1),"HH:MM")</f>
        <v/>
      </c>
      <c r="CB9" s="15">
        <f>TEXT(MOD(TIMEVALUE(CB5)+7/1440,1),"HH:MM")</f>
        <v/>
      </c>
      <c r="CC9" s="15">
        <f>TEXT(MOD(TIMEVALUE(CC5)+7/1440,1),"HH:MM")</f>
        <v/>
      </c>
      <c r="CD9" s="15">
        <f>TEXT(MOD(TIMEVALUE(CD5)+7/1440,1),"HH:MM")</f>
        <v/>
      </c>
      <c r="CE9" s="15">
        <f>TEXT(MOD(TIMEVALUE(CE5)+7/1440,1),"HH:MM")</f>
        <v/>
      </c>
      <c r="CF9" s="15">
        <f>TEXT(MOD(TIMEVALUE(CF5)+7/1440,1),"HH:MM")</f>
        <v/>
      </c>
      <c r="CG9" s="15">
        <f>TEXT(MOD(TIMEVALUE(CG5)+7/1440,1),"HH:MM")</f>
        <v/>
      </c>
      <c r="CH9" s="15">
        <f>TEXT(MOD(TIMEVALUE(CH5)+7/1440,1),"HH:MM")</f>
        <v/>
      </c>
      <c r="CI9" s="15">
        <f>TEXT(MOD(TIMEVALUE(CI5)+7/1440,1),"HH:MM")</f>
        <v/>
      </c>
      <c r="CJ9" s="15">
        <f>TEXT(MOD(TIMEVALUE(CJ5)+7/1440,1),"HH:MM")</f>
        <v/>
      </c>
      <c r="CK9" s="15">
        <f>TEXT(MOD(TIMEVALUE(CK5)+7/1440,1),"HH:MM")</f>
        <v/>
      </c>
      <c r="CL9" s="15">
        <f>TEXT(MOD(TIMEVALUE(CL5)+7/1440,1),"HH:MM")</f>
        <v/>
      </c>
      <c r="CM9" s="15">
        <f>TEXT(MOD(TIMEVALUE(CM5)+7/1440,1),"HH:MM")</f>
        <v/>
      </c>
      <c r="CN9" s="15">
        <f>TEXT(MOD(TIMEVALUE(CN5)+7/1440,1),"HH:MM")</f>
        <v/>
      </c>
      <c r="CO9" s="15">
        <f>TEXT(MOD(TIMEVALUE(CO5)+7/1440,1),"HH:MM")</f>
        <v/>
      </c>
      <c r="CP9" s="15">
        <f>TEXT(MOD(TIMEVALUE(CP5)+7/1440,1),"HH:MM")</f>
        <v/>
      </c>
    </row>
    <row r="10" ht="16.5" customHeight="1" s="26">
      <c r="A10" s="12" t="inlineStr">
        <is>
          <t>Sgto. Barruffaldi</t>
        </is>
      </c>
      <c r="B10" s="13">
        <f>TEXT(MOD(TIMEVALUE(B5)+9/1440,1),"HH:MM")</f>
        <v/>
      </c>
      <c r="C10" s="13">
        <f>TEXT(MOD(TIMEVALUE(C5)+9/1440,1),"HH:MM")</f>
        <v/>
      </c>
      <c r="D10" s="13">
        <f>TEXT(MOD(TIMEVALUE(D5)+9/1440,1),"HH:MM")</f>
        <v/>
      </c>
      <c r="E10" s="13">
        <f>TEXT(MOD(TIMEVALUE(E5)+9/1440,1),"HH:MM")</f>
        <v/>
      </c>
      <c r="F10" s="13">
        <f>TEXT(MOD(TIMEVALUE(F5)+9/1440,1),"HH:MM")</f>
        <v/>
      </c>
      <c r="G10" s="13">
        <f>TEXT(MOD(TIMEVALUE(G5)+9/1440,1),"HH:MM")</f>
        <v/>
      </c>
      <c r="H10" s="13">
        <f>TEXT(MOD(TIMEVALUE(H5)+9/1440,1),"HH:MM")</f>
        <v/>
      </c>
      <c r="I10" s="13">
        <f>TEXT(MOD(TIMEVALUE(I5)+9/1440,1),"HH:MM")</f>
        <v/>
      </c>
      <c r="J10" s="13">
        <f>TEXT(MOD(TIMEVALUE(J5)+9/1440,1),"HH:MM")</f>
        <v/>
      </c>
      <c r="K10" s="13">
        <f>TEXT(MOD(TIMEVALUE(K5)+9/1440,1),"HH:MM")</f>
        <v/>
      </c>
      <c r="L10" s="13">
        <f>TEXT(MOD(TIMEVALUE(L5)+9/1440,1),"HH:MM")</f>
        <v/>
      </c>
      <c r="M10" s="13">
        <f>TEXT(MOD(TIMEVALUE(M5)+9/1440,1),"HH:MM")</f>
        <v/>
      </c>
      <c r="N10" s="13">
        <f>TEXT(MOD(TIMEVALUE(N5)+9/1440,1),"HH:MM")</f>
        <v/>
      </c>
      <c r="O10" s="13">
        <f>TEXT(MOD(TIMEVALUE(O5)+9/1440,1),"HH:MM")</f>
        <v/>
      </c>
      <c r="P10" s="13">
        <f>TEXT(MOD(TIMEVALUE(P5)+9/1440,1),"HH:MM")</f>
        <v/>
      </c>
      <c r="Q10" s="13">
        <f>TEXT(MOD(TIMEVALUE(Q5)+9/1440,1),"HH:MM")</f>
        <v/>
      </c>
      <c r="R10" s="13">
        <f>TEXT(MOD(TIMEVALUE(R5)+9/1440,1),"HH:MM")</f>
        <v/>
      </c>
      <c r="S10" s="13">
        <f>TEXT(MOD(TIMEVALUE(S5)+9/1440,1),"HH:MM")</f>
        <v/>
      </c>
      <c r="T10" s="13">
        <f>TEXT(MOD(TIMEVALUE(T5)+9/1440,1),"HH:MM")</f>
        <v/>
      </c>
      <c r="U10" s="13">
        <f>TEXT(MOD(TIMEVALUE(U5)+9/1440,1),"HH:MM")</f>
        <v/>
      </c>
      <c r="V10" s="13">
        <f>TEXT(MOD(TIMEVALUE(V5)+9/1440,1),"HH:MM")</f>
        <v/>
      </c>
      <c r="W10" s="13">
        <f>TEXT(MOD(TIMEVALUE(W5)+9/1440,1),"HH:MM")</f>
        <v/>
      </c>
      <c r="X10" s="13">
        <f>TEXT(MOD(TIMEVALUE(X5)+9/1440,1),"HH:MM")</f>
        <v/>
      </c>
      <c r="Y10" s="13">
        <f>TEXT(MOD(TIMEVALUE(Y5)+9/1440,1),"HH:MM")</f>
        <v/>
      </c>
      <c r="Z10" s="13">
        <f>TEXT(MOD(TIMEVALUE(Z5)+9/1440,1),"HH:MM")</f>
        <v/>
      </c>
      <c r="AA10" s="13">
        <f>TEXT(MOD(TIMEVALUE(AA5)+9/1440,1),"HH:MM")</f>
        <v/>
      </c>
      <c r="AB10" s="13">
        <f>TEXT(MOD(TIMEVALUE(AB5)+9/1440,1),"HH:MM")</f>
        <v/>
      </c>
      <c r="AC10" s="13">
        <f>TEXT(MOD(TIMEVALUE(AC5)+9/1440,1),"HH:MM")</f>
        <v/>
      </c>
      <c r="AD10" s="13">
        <f>TEXT(MOD(TIMEVALUE(AD5)+9/1440,1),"HH:MM")</f>
        <v/>
      </c>
      <c r="AE10" s="13">
        <f>TEXT(MOD(TIMEVALUE(AE5)+9/1440,1),"HH:MM")</f>
        <v/>
      </c>
      <c r="AF10" s="13">
        <f>TEXT(MOD(TIMEVALUE(AF5)+9/1440,1),"HH:MM")</f>
        <v/>
      </c>
      <c r="AG10" s="13">
        <f>TEXT(MOD(TIMEVALUE(AG5)+9/1440,1),"HH:MM")</f>
        <v/>
      </c>
      <c r="AH10" s="13">
        <f>TEXT(MOD(TIMEVALUE(AH5)+9/1440,1),"HH:MM")</f>
        <v/>
      </c>
      <c r="AI10" s="13">
        <f>TEXT(MOD(TIMEVALUE(AI5)+9/1440,1),"HH:MM")</f>
        <v/>
      </c>
      <c r="AJ10" s="13">
        <f>TEXT(MOD(TIMEVALUE(AJ5)+9/1440,1),"HH:MM")</f>
        <v/>
      </c>
      <c r="AK10" s="13">
        <f>TEXT(MOD(TIMEVALUE(AK5)+9/1440,1),"HH:MM")</f>
        <v/>
      </c>
      <c r="AL10" s="13">
        <f>TEXT(MOD(TIMEVALUE(AL5)+9/1440,1),"HH:MM")</f>
        <v/>
      </c>
      <c r="AM10" s="13">
        <f>TEXT(MOD(TIMEVALUE(AM5)+9/1440,1),"HH:MM")</f>
        <v/>
      </c>
      <c r="AN10" s="13">
        <f>TEXT(MOD(TIMEVALUE(AN5)+9/1440,1),"HH:MM")</f>
        <v/>
      </c>
      <c r="AO10" s="13">
        <f>TEXT(MOD(TIMEVALUE(AO5)+9/1440,1),"HH:MM")</f>
        <v/>
      </c>
      <c r="AP10" s="13">
        <f>TEXT(MOD(TIMEVALUE(AP5)+9/1440,1),"HH:MM")</f>
        <v/>
      </c>
      <c r="AQ10" s="13">
        <f>TEXT(MOD(TIMEVALUE(AQ5)+9/1440,1),"HH:MM")</f>
        <v/>
      </c>
      <c r="AR10" s="13">
        <f>TEXT(MOD(TIMEVALUE(AR5)+9/1440,1),"HH:MM")</f>
        <v/>
      </c>
      <c r="AS10" s="13">
        <f>TEXT(MOD(TIMEVALUE(AS5)+9/1440,1),"HH:MM")</f>
        <v/>
      </c>
      <c r="AT10" s="13">
        <f>TEXT(MOD(TIMEVALUE(AT5)+9/1440,1),"HH:MM")</f>
        <v/>
      </c>
      <c r="AU10" s="13">
        <f>TEXT(MOD(TIMEVALUE(AU5)+9/1440,1),"HH:MM")</f>
        <v/>
      </c>
      <c r="AV10" s="13">
        <f>TEXT(MOD(TIMEVALUE(AV5)+9/1440,1),"HH:MM")</f>
        <v/>
      </c>
      <c r="AW10" s="13">
        <f>TEXT(MOD(TIMEVALUE(AW5)+9/1440,1),"HH:MM")</f>
        <v/>
      </c>
      <c r="AX10" s="13">
        <f>TEXT(MOD(TIMEVALUE(AX5)+9/1440,1),"HH:MM")</f>
        <v/>
      </c>
      <c r="AY10" s="13">
        <f>TEXT(MOD(TIMEVALUE(AY5)+9/1440,1),"HH:MM")</f>
        <v/>
      </c>
      <c r="AZ10" s="13">
        <f>TEXT(MOD(TIMEVALUE(AZ5)+9/1440,1),"HH:MM")</f>
        <v/>
      </c>
      <c r="BA10" s="13">
        <f>TEXT(MOD(TIMEVALUE(BA5)+9/1440,1),"HH:MM")</f>
        <v/>
      </c>
      <c r="BB10" s="13">
        <f>TEXT(MOD(TIMEVALUE(BB5)+9/1440,1),"HH:MM")</f>
        <v/>
      </c>
      <c r="BC10" s="13">
        <f>TEXT(MOD(TIMEVALUE(BC5)+9/1440,1),"HH:MM")</f>
        <v/>
      </c>
      <c r="BD10" s="13">
        <f>TEXT(MOD(TIMEVALUE(BD5)+9/1440,1),"HH:MM")</f>
        <v/>
      </c>
      <c r="BE10" s="13">
        <f>TEXT(MOD(TIMEVALUE(BE5)+9/1440,1),"HH:MM")</f>
        <v/>
      </c>
      <c r="BF10" s="13">
        <f>TEXT(MOD(TIMEVALUE(BF5)+9/1440,1),"HH:MM")</f>
        <v/>
      </c>
      <c r="BG10" s="13">
        <f>TEXT(MOD(TIMEVALUE(BG5)+9/1440,1),"HH:MM")</f>
        <v/>
      </c>
      <c r="BH10" s="13">
        <f>TEXT(MOD(TIMEVALUE(BH5)+9/1440,1),"HH:MM")</f>
        <v/>
      </c>
      <c r="BI10" s="13">
        <f>TEXT(MOD(TIMEVALUE(BI5)+9/1440,1),"HH:MM")</f>
        <v/>
      </c>
      <c r="BJ10" s="13">
        <f>TEXT(MOD(TIMEVALUE(BJ5)+9/1440,1),"HH:MM")</f>
        <v/>
      </c>
      <c r="BK10" s="13">
        <f>TEXT(MOD(TIMEVALUE(BK5)+9/1440,1),"HH:MM")</f>
        <v/>
      </c>
      <c r="BL10" s="13">
        <f>TEXT(MOD(TIMEVALUE(BL5)+9/1440,1),"HH:MM")</f>
        <v/>
      </c>
      <c r="BM10" s="13">
        <f>TEXT(MOD(TIMEVALUE(BM5)+9/1440,1),"HH:MM")</f>
        <v/>
      </c>
      <c r="BN10" s="13">
        <f>TEXT(MOD(TIMEVALUE(BN5)+9/1440,1),"HH:MM")</f>
        <v/>
      </c>
      <c r="BO10" s="13">
        <f>TEXT(MOD(TIMEVALUE(BO5)+9/1440,1),"HH:MM")</f>
        <v/>
      </c>
      <c r="BP10" s="13">
        <f>TEXT(MOD(TIMEVALUE(BP5)+9/1440,1),"HH:MM")</f>
        <v/>
      </c>
      <c r="BQ10" s="13">
        <f>TEXT(MOD(TIMEVALUE(BQ5)+9/1440,1),"HH:MM")</f>
        <v/>
      </c>
      <c r="BR10" s="13">
        <f>TEXT(MOD(TIMEVALUE(BR5)+9/1440,1),"HH:MM")</f>
        <v/>
      </c>
      <c r="BS10" s="13">
        <f>TEXT(MOD(TIMEVALUE(BS5)+9/1440,1),"HH:MM")</f>
        <v/>
      </c>
      <c r="BT10" s="13">
        <f>TEXT(MOD(TIMEVALUE(BT5)+9/1440,1),"HH:MM")</f>
        <v/>
      </c>
      <c r="BU10" s="13">
        <f>TEXT(MOD(TIMEVALUE(BU5)+9/1440,1),"HH:MM")</f>
        <v/>
      </c>
      <c r="BV10" s="13">
        <f>TEXT(MOD(TIMEVALUE(BV5)+9/1440,1),"HH:MM")</f>
        <v/>
      </c>
      <c r="BW10" s="13">
        <f>TEXT(MOD(TIMEVALUE(BW5)+9/1440,1),"HH:MM")</f>
        <v/>
      </c>
      <c r="BX10" s="13">
        <f>TEXT(MOD(TIMEVALUE(BX5)+9/1440,1),"HH:MM")</f>
        <v/>
      </c>
      <c r="BY10" s="13">
        <f>TEXT(MOD(TIMEVALUE(BY5)+9/1440,1),"HH:MM")</f>
        <v/>
      </c>
      <c r="BZ10" s="13">
        <f>TEXT(MOD(TIMEVALUE(BZ5)+9/1440,1),"HH:MM")</f>
        <v/>
      </c>
      <c r="CA10" s="13">
        <f>TEXT(MOD(TIMEVALUE(CA5)+9/1440,1),"HH:MM")</f>
        <v/>
      </c>
      <c r="CB10" s="13">
        <f>TEXT(MOD(TIMEVALUE(CB5)+9/1440,1),"HH:MM")</f>
        <v/>
      </c>
      <c r="CC10" s="13">
        <f>TEXT(MOD(TIMEVALUE(CC5)+9/1440,1),"HH:MM")</f>
        <v/>
      </c>
      <c r="CD10" s="13">
        <f>TEXT(MOD(TIMEVALUE(CD5)+9/1440,1),"HH:MM")</f>
        <v/>
      </c>
      <c r="CE10" s="13">
        <f>TEXT(MOD(TIMEVALUE(CE5)+9/1440,1),"HH:MM")</f>
        <v/>
      </c>
      <c r="CF10" s="13">
        <f>TEXT(MOD(TIMEVALUE(CF5)+9/1440,1),"HH:MM")</f>
        <v/>
      </c>
      <c r="CG10" s="13">
        <f>TEXT(MOD(TIMEVALUE(CG5)+9/1440,1),"HH:MM")</f>
        <v/>
      </c>
      <c r="CH10" s="13">
        <f>TEXT(MOD(TIMEVALUE(CH5)+9/1440,1),"HH:MM")</f>
        <v/>
      </c>
      <c r="CI10" s="13">
        <f>TEXT(MOD(TIMEVALUE(CI5)+9/1440,1),"HH:MM")</f>
        <v/>
      </c>
      <c r="CJ10" s="13">
        <f>TEXT(MOD(TIMEVALUE(CJ5)+9/1440,1),"HH:MM")</f>
        <v/>
      </c>
      <c r="CK10" s="13">
        <f>TEXT(MOD(TIMEVALUE(CK5)+9/1440,1),"HH:MM")</f>
        <v/>
      </c>
      <c r="CL10" s="13">
        <f>TEXT(MOD(TIMEVALUE(CL5)+9/1440,1),"HH:MM")</f>
        <v/>
      </c>
      <c r="CM10" s="13">
        <f>TEXT(MOD(TIMEVALUE(CM5)+9/1440,1),"HH:MM")</f>
        <v/>
      </c>
      <c r="CN10" s="13">
        <f>TEXT(MOD(TIMEVALUE(CN5)+9/1440,1),"HH:MM")</f>
        <v/>
      </c>
      <c r="CO10" s="13">
        <f>TEXT(MOD(TIMEVALUE(CO5)+9/1440,1),"HH:MM")</f>
        <v/>
      </c>
      <c r="CP10" s="13">
        <f>TEXT(MOD(TIMEVALUE(CP5)+9/1440,1),"HH:MM")</f>
        <v/>
      </c>
    </row>
    <row r="11" ht="16.5" customHeight="1" s="26">
      <c r="A11" s="14" t="inlineStr">
        <is>
          <t>Juan E. de la Salle</t>
        </is>
      </c>
      <c r="B11" s="15">
        <f>TEXT(MOD(TIMEVALUE(B5)+12/1440,1),"HH:MM")</f>
        <v/>
      </c>
      <c r="C11" s="15">
        <f>TEXT(MOD(TIMEVALUE(C5)+12/1440,1),"HH:MM")</f>
        <v/>
      </c>
      <c r="D11" s="15">
        <f>TEXT(MOD(TIMEVALUE(D5)+12/1440,1),"HH:MM")</f>
        <v/>
      </c>
      <c r="E11" s="15">
        <f>TEXT(MOD(TIMEVALUE(E5)+12/1440,1),"HH:MM")</f>
        <v/>
      </c>
      <c r="F11" s="15">
        <f>TEXT(MOD(TIMEVALUE(F5)+12/1440,1),"HH:MM")</f>
        <v/>
      </c>
      <c r="G11" s="15">
        <f>TEXT(MOD(TIMEVALUE(G5)+12/1440,1),"HH:MM")</f>
        <v/>
      </c>
      <c r="H11" s="15">
        <f>TEXT(MOD(TIMEVALUE(H5)+12/1440,1),"HH:MM")</f>
        <v/>
      </c>
      <c r="I11" s="15">
        <f>TEXT(MOD(TIMEVALUE(I5)+12/1440,1),"HH:MM")</f>
        <v/>
      </c>
      <c r="J11" s="15">
        <f>TEXT(MOD(TIMEVALUE(J5)+12/1440,1),"HH:MM")</f>
        <v/>
      </c>
      <c r="K11" s="15">
        <f>TEXT(MOD(TIMEVALUE(K5)+12/1440,1),"HH:MM")</f>
        <v/>
      </c>
      <c r="L11" s="15">
        <f>TEXT(MOD(TIMEVALUE(L5)+12/1440,1),"HH:MM")</f>
        <v/>
      </c>
      <c r="M11" s="15">
        <f>TEXT(MOD(TIMEVALUE(M5)+12/1440,1),"HH:MM")</f>
        <v/>
      </c>
      <c r="N11" s="15">
        <f>TEXT(MOD(TIMEVALUE(N5)+12/1440,1),"HH:MM")</f>
        <v/>
      </c>
      <c r="O11" s="15">
        <f>TEXT(MOD(TIMEVALUE(O5)+12/1440,1),"HH:MM")</f>
        <v/>
      </c>
      <c r="P11" s="15">
        <f>TEXT(MOD(TIMEVALUE(P5)+12/1440,1),"HH:MM")</f>
        <v/>
      </c>
      <c r="Q11" s="15">
        <f>TEXT(MOD(TIMEVALUE(Q5)+12/1440,1),"HH:MM")</f>
        <v/>
      </c>
      <c r="R11" s="15">
        <f>TEXT(MOD(TIMEVALUE(R5)+12/1440,1),"HH:MM")</f>
        <v/>
      </c>
      <c r="S11" s="15">
        <f>TEXT(MOD(TIMEVALUE(S5)+12/1440,1),"HH:MM")</f>
        <v/>
      </c>
      <c r="T11" s="15">
        <f>TEXT(MOD(TIMEVALUE(T5)+12/1440,1),"HH:MM")</f>
        <v/>
      </c>
      <c r="U11" s="15">
        <f>TEXT(MOD(TIMEVALUE(U5)+12/1440,1),"HH:MM")</f>
        <v/>
      </c>
      <c r="V11" s="15">
        <f>TEXT(MOD(TIMEVALUE(V5)+12/1440,1),"HH:MM")</f>
        <v/>
      </c>
      <c r="W11" s="15">
        <f>TEXT(MOD(TIMEVALUE(W5)+12/1440,1),"HH:MM")</f>
        <v/>
      </c>
      <c r="X11" s="15">
        <f>TEXT(MOD(TIMEVALUE(X5)+12/1440,1),"HH:MM")</f>
        <v/>
      </c>
      <c r="Y11" s="15">
        <f>TEXT(MOD(TIMEVALUE(Y5)+12/1440,1),"HH:MM")</f>
        <v/>
      </c>
      <c r="Z11" s="15">
        <f>TEXT(MOD(TIMEVALUE(Z5)+12/1440,1),"HH:MM")</f>
        <v/>
      </c>
      <c r="AA11" s="15">
        <f>TEXT(MOD(TIMEVALUE(AA5)+12/1440,1),"HH:MM")</f>
        <v/>
      </c>
      <c r="AB11" s="15">
        <f>TEXT(MOD(TIMEVALUE(AB5)+12/1440,1),"HH:MM")</f>
        <v/>
      </c>
      <c r="AC11" s="15">
        <f>TEXT(MOD(TIMEVALUE(AC5)+12/1440,1),"HH:MM")</f>
        <v/>
      </c>
      <c r="AD11" s="15">
        <f>TEXT(MOD(TIMEVALUE(AD5)+12/1440,1),"HH:MM")</f>
        <v/>
      </c>
      <c r="AE11" s="15">
        <f>TEXT(MOD(TIMEVALUE(AE5)+12/1440,1),"HH:MM")</f>
        <v/>
      </c>
      <c r="AF11" s="15">
        <f>TEXT(MOD(TIMEVALUE(AF5)+12/1440,1),"HH:MM")</f>
        <v/>
      </c>
      <c r="AG11" s="15">
        <f>TEXT(MOD(TIMEVALUE(AG5)+12/1440,1),"HH:MM")</f>
        <v/>
      </c>
      <c r="AH11" s="15">
        <f>TEXT(MOD(TIMEVALUE(AH5)+12/1440,1),"HH:MM")</f>
        <v/>
      </c>
      <c r="AI11" s="15">
        <f>TEXT(MOD(TIMEVALUE(AI5)+12/1440,1),"HH:MM")</f>
        <v/>
      </c>
      <c r="AJ11" s="15">
        <f>TEXT(MOD(TIMEVALUE(AJ5)+12/1440,1),"HH:MM")</f>
        <v/>
      </c>
      <c r="AK11" s="15">
        <f>TEXT(MOD(TIMEVALUE(AK5)+12/1440,1),"HH:MM")</f>
        <v/>
      </c>
      <c r="AL11" s="15">
        <f>TEXT(MOD(TIMEVALUE(AL5)+12/1440,1),"HH:MM")</f>
        <v/>
      </c>
      <c r="AM11" s="15">
        <f>TEXT(MOD(TIMEVALUE(AM5)+12/1440,1),"HH:MM")</f>
        <v/>
      </c>
      <c r="AN11" s="15">
        <f>TEXT(MOD(TIMEVALUE(AN5)+12/1440,1),"HH:MM")</f>
        <v/>
      </c>
      <c r="AO11" s="15">
        <f>TEXT(MOD(TIMEVALUE(AO5)+12/1440,1),"HH:MM")</f>
        <v/>
      </c>
      <c r="AP11" s="15">
        <f>TEXT(MOD(TIMEVALUE(AP5)+12/1440,1),"HH:MM")</f>
        <v/>
      </c>
      <c r="AQ11" s="15">
        <f>TEXT(MOD(TIMEVALUE(AQ5)+12/1440,1),"HH:MM")</f>
        <v/>
      </c>
      <c r="AR11" s="15">
        <f>TEXT(MOD(TIMEVALUE(AR5)+12/1440,1),"HH:MM")</f>
        <v/>
      </c>
      <c r="AS11" s="15">
        <f>TEXT(MOD(TIMEVALUE(AS5)+12/1440,1),"HH:MM")</f>
        <v/>
      </c>
      <c r="AT11" s="15">
        <f>TEXT(MOD(TIMEVALUE(AT5)+12/1440,1),"HH:MM")</f>
        <v/>
      </c>
      <c r="AU11" s="15">
        <f>TEXT(MOD(TIMEVALUE(AU5)+12/1440,1),"HH:MM")</f>
        <v/>
      </c>
      <c r="AV11" s="15">
        <f>TEXT(MOD(TIMEVALUE(AV5)+12/1440,1),"HH:MM")</f>
        <v/>
      </c>
      <c r="AW11" s="15">
        <f>TEXT(MOD(TIMEVALUE(AW5)+12/1440,1),"HH:MM")</f>
        <v/>
      </c>
      <c r="AX11" s="15">
        <f>TEXT(MOD(TIMEVALUE(AX5)+12/1440,1),"HH:MM")</f>
        <v/>
      </c>
      <c r="AY11" s="15">
        <f>TEXT(MOD(TIMEVALUE(AY5)+12/1440,1),"HH:MM")</f>
        <v/>
      </c>
      <c r="AZ11" s="15">
        <f>TEXT(MOD(TIMEVALUE(AZ5)+12/1440,1),"HH:MM")</f>
        <v/>
      </c>
      <c r="BA11" s="15">
        <f>TEXT(MOD(TIMEVALUE(BA5)+12/1440,1),"HH:MM")</f>
        <v/>
      </c>
      <c r="BB11" s="15">
        <f>TEXT(MOD(TIMEVALUE(BB5)+12/1440,1),"HH:MM")</f>
        <v/>
      </c>
      <c r="BC11" s="15">
        <f>TEXT(MOD(TIMEVALUE(BC5)+12/1440,1),"HH:MM")</f>
        <v/>
      </c>
      <c r="BD11" s="15">
        <f>TEXT(MOD(TIMEVALUE(BD5)+12/1440,1),"HH:MM")</f>
        <v/>
      </c>
      <c r="BE11" s="15">
        <f>TEXT(MOD(TIMEVALUE(BE5)+12/1440,1),"HH:MM")</f>
        <v/>
      </c>
      <c r="BF11" s="15">
        <f>TEXT(MOD(TIMEVALUE(BF5)+12/1440,1),"HH:MM")</f>
        <v/>
      </c>
      <c r="BG11" s="15">
        <f>TEXT(MOD(TIMEVALUE(BG5)+12/1440,1),"HH:MM")</f>
        <v/>
      </c>
      <c r="BH11" s="15">
        <f>TEXT(MOD(TIMEVALUE(BH5)+12/1440,1),"HH:MM")</f>
        <v/>
      </c>
      <c r="BI11" s="15">
        <f>TEXT(MOD(TIMEVALUE(BI5)+12/1440,1),"HH:MM")</f>
        <v/>
      </c>
      <c r="BJ11" s="15">
        <f>TEXT(MOD(TIMEVALUE(BJ5)+12/1440,1),"HH:MM")</f>
        <v/>
      </c>
      <c r="BK11" s="15">
        <f>TEXT(MOD(TIMEVALUE(BK5)+12/1440,1),"HH:MM")</f>
        <v/>
      </c>
      <c r="BL11" s="15">
        <f>TEXT(MOD(TIMEVALUE(BL5)+12/1440,1),"HH:MM")</f>
        <v/>
      </c>
      <c r="BM11" s="15">
        <f>TEXT(MOD(TIMEVALUE(BM5)+12/1440,1),"HH:MM")</f>
        <v/>
      </c>
      <c r="BN11" s="15">
        <f>TEXT(MOD(TIMEVALUE(BN5)+12/1440,1),"HH:MM")</f>
        <v/>
      </c>
      <c r="BO11" s="15">
        <f>TEXT(MOD(TIMEVALUE(BO5)+12/1440,1),"HH:MM")</f>
        <v/>
      </c>
      <c r="BP11" s="15">
        <f>TEXT(MOD(TIMEVALUE(BP5)+12/1440,1),"HH:MM")</f>
        <v/>
      </c>
      <c r="BQ11" s="15">
        <f>TEXT(MOD(TIMEVALUE(BQ5)+12/1440,1),"HH:MM")</f>
        <v/>
      </c>
      <c r="BR11" s="15">
        <f>TEXT(MOD(TIMEVALUE(BR5)+12/1440,1),"HH:MM")</f>
        <v/>
      </c>
      <c r="BS11" s="15">
        <f>TEXT(MOD(TIMEVALUE(BS5)+12/1440,1),"HH:MM")</f>
        <v/>
      </c>
      <c r="BT11" s="15">
        <f>TEXT(MOD(TIMEVALUE(BT5)+12/1440,1),"HH:MM")</f>
        <v/>
      </c>
      <c r="BU11" s="15">
        <f>TEXT(MOD(TIMEVALUE(BU5)+12/1440,1),"HH:MM")</f>
        <v/>
      </c>
      <c r="BV11" s="15">
        <f>TEXT(MOD(TIMEVALUE(BV5)+12/1440,1),"HH:MM")</f>
        <v/>
      </c>
      <c r="BW11" s="15">
        <f>TEXT(MOD(TIMEVALUE(BW5)+12/1440,1),"HH:MM")</f>
        <v/>
      </c>
      <c r="BX11" s="15">
        <f>TEXT(MOD(TIMEVALUE(BX5)+12/1440,1),"HH:MM")</f>
        <v/>
      </c>
      <c r="BY11" s="15">
        <f>TEXT(MOD(TIMEVALUE(BY5)+12/1440,1),"HH:MM")</f>
        <v/>
      </c>
      <c r="BZ11" s="15">
        <f>TEXT(MOD(TIMEVALUE(BZ5)+12/1440,1),"HH:MM")</f>
        <v/>
      </c>
      <c r="CA11" s="15">
        <f>TEXT(MOD(TIMEVALUE(CA5)+12/1440,1),"HH:MM")</f>
        <v/>
      </c>
      <c r="CB11" s="15">
        <f>TEXT(MOD(TIMEVALUE(CB5)+12/1440,1),"HH:MM")</f>
        <v/>
      </c>
      <c r="CC11" s="15">
        <f>TEXT(MOD(TIMEVALUE(CC5)+12/1440,1),"HH:MM")</f>
        <v/>
      </c>
      <c r="CD11" s="15">
        <f>TEXT(MOD(TIMEVALUE(CD5)+12/1440,1),"HH:MM")</f>
        <v/>
      </c>
      <c r="CE11" s="15">
        <f>TEXT(MOD(TIMEVALUE(CE5)+12/1440,1),"HH:MM")</f>
        <v/>
      </c>
      <c r="CF11" s="15">
        <f>TEXT(MOD(TIMEVALUE(CF5)+12/1440,1),"HH:MM")</f>
        <v/>
      </c>
      <c r="CG11" s="15">
        <f>TEXT(MOD(TIMEVALUE(CG5)+12/1440,1),"HH:MM")</f>
        <v/>
      </c>
      <c r="CH11" s="15">
        <f>TEXT(MOD(TIMEVALUE(CH5)+12/1440,1),"HH:MM")</f>
        <v/>
      </c>
      <c r="CI11" s="15">
        <f>TEXT(MOD(TIMEVALUE(CI5)+12/1440,1),"HH:MM")</f>
        <v/>
      </c>
      <c r="CJ11" s="15">
        <f>TEXT(MOD(TIMEVALUE(CJ5)+12/1440,1),"HH:MM")</f>
        <v/>
      </c>
      <c r="CK11" s="15">
        <f>TEXT(MOD(TIMEVALUE(CK5)+12/1440,1),"HH:MM")</f>
        <v/>
      </c>
      <c r="CL11" s="15">
        <f>TEXT(MOD(TIMEVALUE(CL5)+12/1440,1),"HH:MM")</f>
        <v/>
      </c>
      <c r="CM11" s="15">
        <f>TEXT(MOD(TIMEVALUE(CM5)+12/1440,1),"HH:MM")</f>
        <v/>
      </c>
      <c r="CN11" s="15">
        <f>TEXT(MOD(TIMEVALUE(CN5)+12/1440,1),"HH:MM")</f>
        <v/>
      </c>
      <c r="CO11" s="15">
        <f>TEXT(MOD(TIMEVALUE(CO5)+12/1440,1),"HH:MM")</f>
        <v/>
      </c>
      <c r="CP11" s="15">
        <f>TEXT(MOD(TIMEVALUE(CP5)+12/1440,1),"HH:MM")</f>
        <v/>
      </c>
    </row>
    <row r="12" ht="16.5" customHeight="1" s="26">
      <c r="A12" s="12" t="inlineStr">
        <is>
          <t>Ejército de los Andes</t>
        </is>
      </c>
      <c r="B12" s="13">
        <f>TEXT(MOD(TIMEVALUE(B5)+14/1440,1),"HH:MM")</f>
        <v/>
      </c>
      <c r="C12" s="13">
        <f>TEXT(MOD(TIMEVALUE(C5)+14/1440,1),"HH:MM")</f>
        <v/>
      </c>
      <c r="D12" s="13">
        <f>TEXT(MOD(TIMEVALUE(D5)+14/1440,1),"HH:MM")</f>
        <v/>
      </c>
      <c r="E12" s="13">
        <f>TEXT(MOD(TIMEVALUE(E5)+14/1440,1),"HH:MM")</f>
        <v/>
      </c>
      <c r="F12" s="13">
        <f>TEXT(MOD(TIMEVALUE(F5)+14/1440,1),"HH:MM")</f>
        <v/>
      </c>
      <c r="G12" s="13">
        <f>TEXT(MOD(TIMEVALUE(G5)+14/1440,1),"HH:MM")</f>
        <v/>
      </c>
      <c r="H12" s="13">
        <f>TEXT(MOD(TIMEVALUE(H5)+14/1440,1),"HH:MM")</f>
        <v/>
      </c>
      <c r="I12" s="13">
        <f>TEXT(MOD(TIMEVALUE(I5)+14/1440,1),"HH:MM")</f>
        <v/>
      </c>
      <c r="J12" s="13">
        <f>TEXT(MOD(TIMEVALUE(J5)+14/1440,1),"HH:MM")</f>
        <v/>
      </c>
      <c r="K12" s="13">
        <f>TEXT(MOD(TIMEVALUE(K5)+14/1440,1),"HH:MM")</f>
        <v/>
      </c>
      <c r="L12" s="13">
        <f>TEXT(MOD(TIMEVALUE(L5)+14/1440,1),"HH:MM")</f>
        <v/>
      </c>
      <c r="M12" s="13">
        <f>TEXT(MOD(TIMEVALUE(M5)+14/1440,1),"HH:MM")</f>
        <v/>
      </c>
      <c r="N12" s="13">
        <f>TEXT(MOD(TIMEVALUE(N5)+14/1440,1),"HH:MM")</f>
        <v/>
      </c>
      <c r="O12" s="13">
        <f>TEXT(MOD(TIMEVALUE(O5)+14/1440,1),"HH:MM")</f>
        <v/>
      </c>
      <c r="P12" s="13">
        <f>TEXT(MOD(TIMEVALUE(P5)+14/1440,1),"HH:MM")</f>
        <v/>
      </c>
      <c r="Q12" s="13">
        <f>TEXT(MOD(TIMEVALUE(Q5)+14/1440,1),"HH:MM")</f>
        <v/>
      </c>
      <c r="R12" s="13">
        <f>TEXT(MOD(TIMEVALUE(R5)+14/1440,1),"HH:MM")</f>
        <v/>
      </c>
      <c r="S12" s="13">
        <f>TEXT(MOD(TIMEVALUE(S5)+14/1440,1),"HH:MM")</f>
        <v/>
      </c>
      <c r="T12" s="13">
        <f>TEXT(MOD(TIMEVALUE(T5)+14/1440,1),"HH:MM")</f>
        <v/>
      </c>
      <c r="U12" s="13">
        <f>TEXT(MOD(TIMEVALUE(U5)+14/1440,1),"HH:MM")</f>
        <v/>
      </c>
      <c r="V12" s="13">
        <f>TEXT(MOD(TIMEVALUE(V5)+14/1440,1),"HH:MM")</f>
        <v/>
      </c>
      <c r="W12" s="13">
        <f>TEXT(MOD(TIMEVALUE(W5)+14/1440,1),"HH:MM")</f>
        <v/>
      </c>
      <c r="X12" s="13">
        <f>TEXT(MOD(TIMEVALUE(X5)+14/1440,1),"HH:MM")</f>
        <v/>
      </c>
      <c r="Y12" s="13">
        <f>TEXT(MOD(TIMEVALUE(Y5)+14/1440,1),"HH:MM")</f>
        <v/>
      </c>
      <c r="Z12" s="13">
        <f>TEXT(MOD(TIMEVALUE(Z5)+14/1440,1),"HH:MM")</f>
        <v/>
      </c>
      <c r="AA12" s="13">
        <f>TEXT(MOD(TIMEVALUE(AA5)+14/1440,1),"HH:MM")</f>
        <v/>
      </c>
      <c r="AB12" s="13">
        <f>TEXT(MOD(TIMEVALUE(AB5)+14/1440,1),"HH:MM")</f>
        <v/>
      </c>
      <c r="AC12" s="13">
        <f>TEXT(MOD(TIMEVALUE(AC5)+14/1440,1),"HH:MM")</f>
        <v/>
      </c>
      <c r="AD12" s="13">
        <f>TEXT(MOD(TIMEVALUE(AD5)+14/1440,1),"HH:MM")</f>
        <v/>
      </c>
      <c r="AE12" s="13">
        <f>TEXT(MOD(TIMEVALUE(AE5)+14/1440,1),"HH:MM")</f>
        <v/>
      </c>
      <c r="AF12" s="13">
        <f>TEXT(MOD(TIMEVALUE(AF5)+14/1440,1),"HH:MM")</f>
        <v/>
      </c>
      <c r="AG12" s="13">
        <f>TEXT(MOD(TIMEVALUE(AG5)+14/1440,1),"HH:MM")</f>
        <v/>
      </c>
      <c r="AH12" s="13">
        <f>TEXT(MOD(TIMEVALUE(AH5)+14/1440,1),"HH:MM")</f>
        <v/>
      </c>
      <c r="AI12" s="13">
        <f>TEXT(MOD(TIMEVALUE(AI5)+14/1440,1),"HH:MM")</f>
        <v/>
      </c>
      <c r="AJ12" s="13">
        <f>TEXT(MOD(TIMEVALUE(AJ5)+14/1440,1),"HH:MM")</f>
        <v/>
      </c>
      <c r="AK12" s="13">
        <f>TEXT(MOD(TIMEVALUE(AK5)+14/1440,1),"HH:MM")</f>
        <v/>
      </c>
      <c r="AL12" s="13">
        <f>TEXT(MOD(TIMEVALUE(AL5)+14/1440,1),"HH:MM")</f>
        <v/>
      </c>
      <c r="AM12" s="13">
        <f>TEXT(MOD(TIMEVALUE(AM5)+14/1440,1),"HH:MM")</f>
        <v/>
      </c>
      <c r="AN12" s="13">
        <f>TEXT(MOD(TIMEVALUE(AN5)+14/1440,1),"HH:MM")</f>
        <v/>
      </c>
      <c r="AO12" s="13">
        <f>TEXT(MOD(TIMEVALUE(AO5)+14/1440,1),"HH:MM")</f>
        <v/>
      </c>
      <c r="AP12" s="13">
        <f>TEXT(MOD(TIMEVALUE(AP5)+14/1440,1),"HH:MM")</f>
        <v/>
      </c>
      <c r="AQ12" s="13">
        <f>TEXT(MOD(TIMEVALUE(AQ5)+14/1440,1),"HH:MM")</f>
        <v/>
      </c>
      <c r="AR12" s="13">
        <f>TEXT(MOD(TIMEVALUE(AR5)+14/1440,1),"HH:MM")</f>
        <v/>
      </c>
      <c r="AS12" s="13">
        <f>TEXT(MOD(TIMEVALUE(AS5)+14/1440,1),"HH:MM")</f>
        <v/>
      </c>
      <c r="AT12" s="13">
        <f>TEXT(MOD(TIMEVALUE(AT5)+14/1440,1),"HH:MM")</f>
        <v/>
      </c>
      <c r="AU12" s="13">
        <f>TEXT(MOD(TIMEVALUE(AU5)+14/1440,1),"HH:MM")</f>
        <v/>
      </c>
      <c r="AV12" s="13">
        <f>TEXT(MOD(TIMEVALUE(AV5)+14/1440,1),"HH:MM")</f>
        <v/>
      </c>
      <c r="AW12" s="13">
        <f>TEXT(MOD(TIMEVALUE(AW5)+14/1440,1),"HH:MM")</f>
        <v/>
      </c>
      <c r="AX12" s="13">
        <f>TEXT(MOD(TIMEVALUE(AX5)+14/1440,1),"HH:MM")</f>
        <v/>
      </c>
      <c r="AY12" s="13">
        <f>TEXT(MOD(TIMEVALUE(AY5)+14/1440,1),"HH:MM")</f>
        <v/>
      </c>
      <c r="AZ12" s="13">
        <f>TEXT(MOD(TIMEVALUE(AZ5)+14/1440,1),"HH:MM")</f>
        <v/>
      </c>
      <c r="BA12" s="13">
        <f>TEXT(MOD(TIMEVALUE(BA5)+14/1440,1),"HH:MM")</f>
        <v/>
      </c>
      <c r="BB12" s="13">
        <f>TEXT(MOD(TIMEVALUE(BB5)+14/1440,1),"HH:MM")</f>
        <v/>
      </c>
      <c r="BC12" s="13">
        <f>TEXT(MOD(TIMEVALUE(BC5)+14/1440,1),"HH:MM")</f>
        <v/>
      </c>
      <c r="BD12" s="13">
        <f>TEXT(MOD(TIMEVALUE(BD5)+14/1440,1),"HH:MM")</f>
        <v/>
      </c>
      <c r="BE12" s="13">
        <f>TEXT(MOD(TIMEVALUE(BE5)+14/1440,1),"HH:MM")</f>
        <v/>
      </c>
      <c r="BF12" s="13">
        <f>TEXT(MOD(TIMEVALUE(BF5)+14/1440,1),"HH:MM")</f>
        <v/>
      </c>
      <c r="BG12" s="13">
        <f>TEXT(MOD(TIMEVALUE(BG5)+14/1440,1),"HH:MM")</f>
        <v/>
      </c>
      <c r="BH12" s="13">
        <f>TEXT(MOD(TIMEVALUE(BH5)+14/1440,1),"HH:MM")</f>
        <v/>
      </c>
      <c r="BI12" s="13">
        <f>TEXT(MOD(TIMEVALUE(BI5)+14/1440,1),"HH:MM")</f>
        <v/>
      </c>
      <c r="BJ12" s="13">
        <f>TEXT(MOD(TIMEVALUE(BJ5)+14/1440,1),"HH:MM")</f>
        <v/>
      </c>
      <c r="BK12" s="13">
        <f>TEXT(MOD(TIMEVALUE(BK5)+14/1440,1),"HH:MM")</f>
        <v/>
      </c>
      <c r="BL12" s="13">
        <f>TEXT(MOD(TIMEVALUE(BL5)+14/1440,1),"HH:MM")</f>
        <v/>
      </c>
      <c r="BM12" s="13">
        <f>TEXT(MOD(TIMEVALUE(BM5)+14/1440,1),"HH:MM")</f>
        <v/>
      </c>
      <c r="BN12" s="13">
        <f>TEXT(MOD(TIMEVALUE(BN5)+14/1440,1),"HH:MM")</f>
        <v/>
      </c>
      <c r="BO12" s="13">
        <f>TEXT(MOD(TIMEVALUE(BO5)+14/1440,1),"HH:MM")</f>
        <v/>
      </c>
      <c r="BP12" s="13">
        <f>TEXT(MOD(TIMEVALUE(BP5)+14/1440,1),"HH:MM")</f>
        <v/>
      </c>
      <c r="BQ12" s="13">
        <f>TEXT(MOD(TIMEVALUE(BQ5)+14/1440,1),"HH:MM")</f>
        <v/>
      </c>
      <c r="BR12" s="13">
        <f>TEXT(MOD(TIMEVALUE(BR5)+14/1440,1),"HH:MM")</f>
        <v/>
      </c>
      <c r="BS12" s="13">
        <f>TEXT(MOD(TIMEVALUE(BS5)+14/1440,1),"HH:MM")</f>
        <v/>
      </c>
      <c r="BT12" s="13">
        <f>TEXT(MOD(TIMEVALUE(BT5)+14/1440,1),"HH:MM")</f>
        <v/>
      </c>
      <c r="BU12" s="13">
        <f>TEXT(MOD(TIMEVALUE(BU5)+14/1440,1),"HH:MM")</f>
        <v/>
      </c>
      <c r="BV12" s="13">
        <f>TEXT(MOD(TIMEVALUE(BV5)+14/1440,1),"HH:MM")</f>
        <v/>
      </c>
      <c r="BW12" s="13">
        <f>TEXT(MOD(TIMEVALUE(BW5)+14/1440,1),"HH:MM")</f>
        <v/>
      </c>
      <c r="BX12" s="13">
        <f>TEXT(MOD(TIMEVALUE(BX5)+14/1440,1),"HH:MM")</f>
        <v/>
      </c>
      <c r="BY12" s="13">
        <f>TEXT(MOD(TIMEVALUE(BY5)+14/1440,1),"HH:MM")</f>
        <v/>
      </c>
      <c r="BZ12" s="13">
        <f>TEXT(MOD(TIMEVALUE(BZ5)+14/1440,1),"HH:MM")</f>
        <v/>
      </c>
      <c r="CA12" s="13">
        <f>TEXT(MOD(TIMEVALUE(CA5)+14/1440,1),"HH:MM")</f>
        <v/>
      </c>
      <c r="CB12" s="13">
        <f>TEXT(MOD(TIMEVALUE(CB5)+14/1440,1),"HH:MM")</f>
        <v/>
      </c>
      <c r="CC12" s="13">
        <f>TEXT(MOD(TIMEVALUE(CC5)+14/1440,1),"HH:MM")</f>
        <v/>
      </c>
      <c r="CD12" s="13">
        <f>TEXT(MOD(TIMEVALUE(CD5)+14/1440,1),"HH:MM")</f>
        <v/>
      </c>
      <c r="CE12" s="13">
        <f>TEXT(MOD(TIMEVALUE(CE5)+14/1440,1),"HH:MM")</f>
        <v/>
      </c>
      <c r="CF12" s="13">
        <f>TEXT(MOD(TIMEVALUE(CF5)+14/1440,1),"HH:MM")</f>
        <v/>
      </c>
      <c r="CG12" s="13">
        <f>TEXT(MOD(TIMEVALUE(CG5)+14/1440,1),"HH:MM")</f>
        <v/>
      </c>
      <c r="CH12" s="13">
        <f>TEXT(MOD(TIMEVALUE(CH5)+14/1440,1),"HH:MM")</f>
        <v/>
      </c>
      <c r="CI12" s="13">
        <f>TEXT(MOD(TIMEVALUE(CI5)+14/1440,1),"HH:MM")</f>
        <v/>
      </c>
      <c r="CJ12" s="13">
        <f>TEXT(MOD(TIMEVALUE(CJ5)+14/1440,1),"HH:MM")</f>
        <v/>
      </c>
      <c r="CK12" s="13">
        <f>TEXT(MOD(TIMEVALUE(CK5)+14/1440,1),"HH:MM")</f>
        <v/>
      </c>
      <c r="CL12" s="13">
        <f>TEXT(MOD(TIMEVALUE(CL5)+14/1440,1),"HH:MM")</f>
        <v/>
      </c>
      <c r="CM12" s="13">
        <f>TEXT(MOD(TIMEVALUE(CM5)+14/1440,1),"HH:MM")</f>
        <v/>
      </c>
      <c r="CN12" s="13">
        <f>TEXT(MOD(TIMEVALUE(CN5)+14/1440,1),"HH:MM")</f>
        <v/>
      </c>
      <c r="CO12" s="13">
        <f>TEXT(MOD(TIMEVALUE(CO5)+14/1440,1),"HH:MM")</f>
        <v/>
      </c>
      <c r="CP12" s="13">
        <f>TEXT(MOD(TIMEVALUE(CP5)+14/1440,1),"HH:MM")</f>
        <v/>
      </c>
    </row>
    <row r="13" ht="16.5" customHeight="1" s="26">
      <c r="A13" s="14" t="inlineStr">
        <is>
          <t>Rubén Darío</t>
        </is>
      </c>
      <c r="B13" s="15">
        <f>TEXT(MOD(TIMEVALUE(B5)+18/1440,1),"HH:MM")</f>
        <v/>
      </c>
      <c r="C13" s="15">
        <f>TEXT(MOD(TIMEVALUE(C5)+18/1440,1),"HH:MM")</f>
        <v/>
      </c>
      <c r="D13" s="15">
        <f>TEXT(MOD(TIMEVALUE(D5)+18/1440,1),"HH:MM")</f>
        <v/>
      </c>
      <c r="E13" s="15">
        <f>TEXT(MOD(TIMEVALUE(E5)+18/1440,1),"HH:MM")</f>
        <v/>
      </c>
      <c r="F13" s="15">
        <f>TEXT(MOD(TIMEVALUE(F5)+18/1440,1),"HH:MM")</f>
        <v/>
      </c>
      <c r="G13" s="15">
        <f>TEXT(MOD(TIMEVALUE(G5)+18/1440,1),"HH:MM")</f>
        <v/>
      </c>
      <c r="H13" s="15">
        <f>TEXT(MOD(TIMEVALUE(H5)+18/1440,1),"HH:MM")</f>
        <v/>
      </c>
      <c r="I13" s="15">
        <f>TEXT(MOD(TIMEVALUE(I5)+18/1440,1),"HH:MM")</f>
        <v/>
      </c>
      <c r="J13" s="15">
        <f>TEXT(MOD(TIMEVALUE(J5)+18/1440,1),"HH:MM")</f>
        <v/>
      </c>
      <c r="K13" s="15">
        <f>TEXT(MOD(TIMEVALUE(K5)+18/1440,1),"HH:MM")</f>
        <v/>
      </c>
      <c r="L13" s="15">
        <f>TEXT(MOD(TIMEVALUE(L5)+18/1440,1),"HH:MM")</f>
        <v/>
      </c>
      <c r="M13" s="15">
        <f>TEXT(MOD(TIMEVALUE(M5)+18/1440,1),"HH:MM")</f>
        <v/>
      </c>
      <c r="N13" s="15">
        <f>TEXT(MOD(TIMEVALUE(N5)+18/1440,1),"HH:MM")</f>
        <v/>
      </c>
      <c r="O13" s="15">
        <f>TEXT(MOD(TIMEVALUE(O5)+18/1440,1),"HH:MM")</f>
        <v/>
      </c>
      <c r="P13" s="15">
        <f>TEXT(MOD(TIMEVALUE(P5)+18/1440,1),"HH:MM")</f>
        <v/>
      </c>
      <c r="Q13" s="15">
        <f>TEXT(MOD(TIMEVALUE(Q5)+18/1440,1),"HH:MM")</f>
        <v/>
      </c>
      <c r="R13" s="15">
        <f>TEXT(MOD(TIMEVALUE(R5)+18/1440,1),"HH:MM")</f>
        <v/>
      </c>
      <c r="S13" s="15">
        <f>TEXT(MOD(TIMEVALUE(S5)+18/1440,1),"HH:MM")</f>
        <v/>
      </c>
      <c r="T13" s="15">
        <f>TEXT(MOD(TIMEVALUE(T5)+18/1440,1),"HH:MM")</f>
        <v/>
      </c>
      <c r="U13" s="15">
        <f>TEXT(MOD(TIMEVALUE(U5)+18/1440,1),"HH:MM")</f>
        <v/>
      </c>
      <c r="V13" s="15">
        <f>TEXT(MOD(TIMEVALUE(V5)+18/1440,1),"HH:MM")</f>
        <v/>
      </c>
      <c r="W13" s="15">
        <f>TEXT(MOD(TIMEVALUE(W5)+18/1440,1),"HH:MM")</f>
        <v/>
      </c>
      <c r="X13" s="15">
        <f>TEXT(MOD(TIMEVALUE(X5)+18/1440,1),"HH:MM")</f>
        <v/>
      </c>
      <c r="Y13" s="15">
        <f>TEXT(MOD(TIMEVALUE(Y5)+18/1440,1),"HH:MM")</f>
        <v/>
      </c>
      <c r="Z13" s="15">
        <f>TEXT(MOD(TIMEVALUE(Z5)+18/1440,1),"HH:MM")</f>
        <v/>
      </c>
      <c r="AA13" s="15">
        <f>TEXT(MOD(TIMEVALUE(AA5)+18/1440,1),"HH:MM")</f>
        <v/>
      </c>
      <c r="AB13" s="15">
        <f>TEXT(MOD(TIMEVALUE(AB5)+18/1440,1),"HH:MM")</f>
        <v/>
      </c>
      <c r="AC13" s="15">
        <f>TEXT(MOD(TIMEVALUE(AC5)+18/1440,1),"HH:MM")</f>
        <v/>
      </c>
      <c r="AD13" s="15">
        <f>TEXT(MOD(TIMEVALUE(AD5)+18/1440,1),"HH:MM")</f>
        <v/>
      </c>
      <c r="AE13" s="15">
        <f>TEXT(MOD(TIMEVALUE(AE5)+18/1440,1),"HH:MM")</f>
        <v/>
      </c>
      <c r="AF13" s="15">
        <f>TEXT(MOD(TIMEVALUE(AF5)+18/1440,1),"HH:MM")</f>
        <v/>
      </c>
      <c r="AG13" s="15">
        <f>TEXT(MOD(TIMEVALUE(AG5)+18/1440,1),"HH:MM")</f>
        <v/>
      </c>
      <c r="AH13" s="15">
        <f>TEXT(MOD(TIMEVALUE(AH5)+18/1440,1),"HH:MM")</f>
        <v/>
      </c>
      <c r="AI13" s="15">
        <f>TEXT(MOD(TIMEVALUE(AI5)+18/1440,1),"HH:MM")</f>
        <v/>
      </c>
      <c r="AJ13" s="15">
        <f>TEXT(MOD(TIMEVALUE(AJ5)+18/1440,1),"HH:MM")</f>
        <v/>
      </c>
      <c r="AK13" s="15">
        <f>TEXT(MOD(TIMEVALUE(AK5)+18/1440,1),"HH:MM")</f>
        <v/>
      </c>
      <c r="AL13" s="15">
        <f>TEXT(MOD(TIMEVALUE(AL5)+18/1440,1),"HH:MM")</f>
        <v/>
      </c>
      <c r="AM13" s="15">
        <f>TEXT(MOD(TIMEVALUE(AM5)+18/1440,1),"HH:MM")</f>
        <v/>
      </c>
      <c r="AN13" s="15">
        <f>TEXT(MOD(TIMEVALUE(AN5)+18/1440,1),"HH:MM")</f>
        <v/>
      </c>
      <c r="AO13" s="15">
        <f>TEXT(MOD(TIMEVALUE(AO5)+18/1440,1),"HH:MM")</f>
        <v/>
      </c>
      <c r="AP13" s="15">
        <f>TEXT(MOD(TIMEVALUE(AP5)+18/1440,1),"HH:MM")</f>
        <v/>
      </c>
      <c r="AQ13" s="15">
        <f>TEXT(MOD(TIMEVALUE(AQ5)+18/1440,1),"HH:MM")</f>
        <v/>
      </c>
      <c r="AR13" s="15">
        <f>TEXT(MOD(TIMEVALUE(AR5)+18/1440,1),"HH:MM")</f>
        <v/>
      </c>
      <c r="AS13" s="15">
        <f>TEXT(MOD(TIMEVALUE(AS5)+18/1440,1),"HH:MM")</f>
        <v/>
      </c>
      <c r="AT13" s="15">
        <f>TEXT(MOD(TIMEVALUE(AT5)+18/1440,1),"HH:MM")</f>
        <v/>
      </c>
      <c r="AU13" s="15">
        <f>TEXT(MOD(TIMEVALUE(AU5)+18/1440,1),"HH:MM")</f>
        <v/>
      </c>
      <c r="AV13" s="15">
        <f>TEXT(MOD(TIMEVALUE(AV5)+18/1440,1),"HH:MM")</f>
        <v/>
      </c>
      <c r="AW13" s="15">
        <f>TEXT(MOD(TIMEVALUE(AW5)+18/1440,1),"HH:MM")</f>
        <v/>
      </c>
      <c r="AX13" s="15">
        <f>TEXT(MOD(TIMEVALUE(AX5)+18/1440,1),"HH:MM")</f>
        <v/>
      </c>
      <c r="AY13" s="15">
        <f>TEXT(MOD(TIMEVALUE(AY5)+18/1440,1),"HH:MM")</f>
        <v/>
      </c>
      <c r="AZ13" s="15">
        <f>TEXT(MOD(TIMEVALUE(AZ5)+18/1440,1),"HH:MM")</f>
        <v/>
      </c>
      <c r="BA13" s="15">
        <f>TEXT(MOD(TIMEVALUE(BA5)+18/1440,1),"HH:MM")</f>
        <v/>
      </c>
      <c r="BB13" s="15">
        <f>TEXT(MOD(TIMEVALUE(BB5)+18/1440,1),"HH:MM")</f>
        <v/>
      </c>
      <c r="BC13" s="15">
        <f>TEXT(MOD(TIMEVALUE(BC5)+18/1440,1),"HH:MM")</f>
        <v/>
      </c>
      <c r="BD13" s="15">
        <f>TEXT(MOD(TIMEVALUE(BD5)+18/1440,1),"HH:MM")</f>
        <v/>
      </c>
      <c r="BE13" s="15">
        <f>TEXT(MOD(TIMEVALUE(BE5)+18/1440,1),"HH:MM")</f>
        <v/>
      </c>
      <c r="BF13" s="15">
        <f>TEXT(MOD(TIMEVALUE(BF5)+18/1440,1),"HH:MM")</f>
        <v/>
      </c>
      <c r="BG13" s="15">
        <f>TEXT(MOD(TIMEVALUE(BG5)+18/1440,1),"HH:MM")</f>
        <v/>
      </c>
      <c r="BH13" s="15">
        <f>TEXT(MOD(TIMEVALUE(BH5)+18/1440,1),"HH:MM")</f>
        <v/>
      </c>
      <c r="BI13" s="15">
        <f>TEXT(MOD(TIMEVALUE(BI5)+18/1440,1),"HH:MM")</f>
        <v/>
      </c>
      <c r="BJ13" s="15">
        <f>TEXT(MOD(TIMEVALUE(BJ5)+18/1440,1),"HH:MM")</f>
        <v/>
      </c>
      <c r="BK13" s="15">
        <f>TEXT(MOD(TIMEVALUE(BK5)+18/1440,1),"HH:MM")</f>
        <v/>
      </c>
      <c r="BL13" s="15">
        <f>TEXT(MOD(TIMEVALUE(BL5)+18/1440,1),"HH:MM")</f>
        <v/>
      </c>
      <c r="BM13" s="15">
        <f>TEXT(MOD(TIMEVALUE(BM5)+18/1440,1),"HH:MM")</f>
        <v/>
      </c>
      <c r="BN13" s="15">
        <f>TEXT(MOD(TIMEVALUE(BN5)+18/1440,1),"HH:MM")</f>
        <v/>
      </c>
      <c r="BO13" s="15">
        <f>TEXT(MOD(TIMEVALUE(BO5)+18/1440,1),"HH:MM")</f>
        <v/>
      </c>
      <c r="BP13" s="15">
        <f>TEXT(MOD(TIMEVALUE(BP5)+18/1440,1),"HH:MM")</f>
        <v/>
      </c>
      <c r="BQ13" s="15">
        <f>TEXT(MOD(TIMEVALUE(BQ5)+18/1440,1),"HH:MM")</f>
        <v/>
      </c>
      <c r="BR13" s="15">
        <f>TEXT(MOD(TIMEVALUE(BR5)+18/1440,1),"HH:MM")</f>
        <v/>
      </c>
      <c r="BS13" s="15">
        <f>TEXT(MOD(TIMEVALUE(BS5)+18/1440,1),"HH:MM")</f>
        <v/>
      </c>
      <c r="BT13" s="15">
        <f>TEXT(MOD(TIMEVALUE(BT5)+18/1440,1),"HH:MM")</f>
        <v/>
      </c>
      <c r="BU13" s="15">
        <f>TEXT(MOD(TIMEVALUE(BU5)+18/1440,1),"HH:MM")</f>
        <v/>
      </c>
      <c r="BV13" s="15">
        <f>TEXT(MOD(TIMEVALUE(BV5)+18/1440,1),"HH:MM")</f>
        <v/>
      </c>
      <c r="BW13" s="15">
        <f>TEXT(MOD(TIMEVALUE(BW5)+18/1440,1),"HH:MM")</f>
        <v/>
      </c>
      <c r="BX13" s="15">
        <f>TEXT(MOD(TIMEVALUE(BX5)+18/1440,1),"HH:MM")</f>
        <v/>
      </c>
      <c r="BY13" s="15">
        <f>TEXT(MOD(TIMEVALUE(BY5)+18/1440,1),"HH:MM")</f>
        <v/>
      </c>
      <c r="BZ13" s="15">
        <f>TEXT(MOD(TIMEVALUE(BZ5)+18/1440,1),"HH:MM")</f>
        <v/>
      </c>
      <c r="CA13" s="15">
        <f>TEXT(MOD(TIMEVALUE(CA5)+18/1440,1),"HH:MM")</f>
        <v/>
      </c>
      <c r="CB13" s="15">
        <f>TEXT(MOD(TIMEVALUE(CB5)+18/1440,1),"HH:MM")</f>
        <v/>
      </c>
      <c r="CC13" s="15">
        <f>TEXT(MOD(TIMEVALUE(CC5)+18/1440,1),"HH:MM")</f>
        <v/>
      </c>
      <c r="CD13" s="15">
        <f>TEXT(MOD(TIMEVALUE(CD5)+18/1440,1),"HH:MM")</f>
        <v/>
      </c>
      <c r="CE13" s="15">
        <f>TEXT(MOD(TIMEVALUE(CE5)+18/1440,1),"HH:MM")</f>
        <v/>
      </c>
      <c r="CF13" s="15">
        <f>TEXT(MOD(TIMEVALUE(CF5)+18/1440,1),"HH:MM")</f>
        <v/>
      </c>
      <c r="CG13" s="15">
        <f>TEXT(MOD(TIMEVALUE(CG5)+18/1440,1),"HH:MM")</f>
        <v/>
      </c>
      <c r="CH13" s="15">
        <f>TEXT(MOD(TIMEVALUE(CH5)+18/1440,1),"HH:MM")</f>
        <v/>
      </c>
      <c r="CI13" s="15">
        <f>TEXT(MOD(TIMEVALUE(CI5)+18/1440,1),"HH:MM")</f>
        <v/>
      </c>
      <c r="CJ13" s="15">
        <f>TEXT(MOD(TIMEVALUE(CJ5)+18/1440,1),"HH:MM")</f>
        <v/>
      </c>
      <c r="CK13" s="15">
        <f>TEXT(MOD(TIMEVALUE(CK5)+18/1440,1),"HH:MM")</f>
        <v/>
      </c>
      <c r="CL13" s="15">
        <f>TEXT(MOD(TIMEVALUE(CL5)+18/1440,1),"HH:MM")</f>
        <v/>
      </c>
      <c r="CM13" s="15">
        <f>TEXT(MOD(TIMEVALUE(CM5)+18/1440,1),"HH:MM")</f>
        <v/>
      </c>
      <c r="CN13" s="15">
        <f>TEXT(MOD(TIMEVALUE(CN5)+18/1440,1),"HH:MM")</f>
        <v/>
      </c>
      <c r="CO13" s="15">
        <f>TEXT(MOD(TIMEVALUE(CO5)+18/1440,1),"HH:MM")</f>
        <v/>
      </c>
      <c r="CP13" s="15">
        <f>TEXT(MOD(TIMEVALUE(CP5)+18/1440,1),"HH:MM")</f>
        <v/>
      </c>
    </row>
    <row r="14" ht="16.5" customHeight="1" s="26">
      <c r="A14" s="12" t="inlineStr">
        <is>
          <t>Jorge Newbery</t>
        </is>
      </c>
      <c r="B14" s="13">
        <f>TEXT(MOD(TIMEVALUE(B5)+20/1440,1),"HH:MM")</f>
        <v/>
      </c>
      <c r="C14" s="13">
        <f>TEXT(MOD(TIMEVALUE(C5)+20/1440,1),"HH:MM")</f>
        <v/>
      </c>
      <c r="D14" s="13">
        <f>TEXT(MOD(TIMEVALUE(D5)+20/1440,1),"HH:MM")</f>
        <v/>
      </c>
      <c r="E14" s="13">
        <f>TEXT(MOD(TIMEVALUE(E5)+20/1440,1),"HH:MM")</f>
        <v/>
      </c>
      <c r="F14" s="13">
        <f>TEXT(MOD(TIMEVALUE(F5)+20/1440,1),"HH:MM")</f>
        <v/>
      </c>
      <c r="G14" s="13">
        <f>TEXT(MOD(TIMEVALUE(G5)+20/1440,1),"HH:MM")</f>
        <v/>
      </c>
      <c r="H14" s="13">
        <f>TEXT(MOD(TIMEVALUE(H5)+20/1440,1),"HH:MM")</f>
        <v/>
      </c>
      <c r="I14" s="13">
        <f>TEXT(MOD(TIMEVALUE(I5)+20/1440,1),"HH:MM")</f>
        <v/>
      </c>
      <c r="J14" s="13">
        <f>TEXT(MOD(TIMEVALUE(J5)+20/1440,1),"HH:MM")</f>
        <v/>
      </c>
      <c r="K14" s="13">
        <f>TEXT(MOD(TIMEVALUE(K5)+20/1440,1),"HH:MM")</f>
        <v/>
      </c>
      <c r="L14" s="13">
        <f>TEXT(MOD(TIMEVALUE(L5)+20/1440,1),"HH:MM")</f>
        <v/>
      </c>
      <c r="M14" s="13">
        <f>TEXT(MOD(TIMEVALUE(M5)+20/1440,1),"HH:MM")</f>
        <v/>
      </c>
      <c r="N14" s="13">
        <f>TEXT(MOD(TIMEVALUE(N5)+20/1440,1),"HH:MM")</f>
        <v/>
      </c>
      <c r="O14" s="13">
        <f>TEXT(MOD(TIMEVALUE(O5)+20/1440,1),"HH:MM")</f>
        <v/>
      </c>
      <c r="P14" s="13">
        <f>TEXT(MOD(TIMEVALUE(P5)+20/1440,1),"HH:MM")</f>
        <v/>
      </c>
      <c r="Q14" s="13">
        <f>TEXT(MOD(TIMEVALUE(Q5)+20/1440,1),"HH:MM")</f>
        <v/>
      </c>
      <c r="R14" s="13">
        <f>TEXT(MOD(TIMEVALUE(R5)+20/1440,1),"HH:MM")</f>
        <v/>
      </c>
      <c r="S14" s="13">
        <f>TEXT(MOD(TIMEVALUE(S5)+20/1440,1),"HH:MM")</f>
        <v/>
      </c>
      <c r="T14" s="13">
        <f>TEXT(MOD(TIMEVALUE(T5)+20/1440,1),"HH:MM")</f>
        <v/>
      </c>
      <c r="U14" s="13">
        <f>TEXT(MOD(TIMEVALUE(U5)+20/1440,1),"HH:MM")</f>
        <v/>
      </c>
      <c r="V14" s="13">
        <f>TEXT(MOD(TIMEVALUE(V5)+20/1440,1),"HH:MM")</f>
        <v/>
      </c>
      <c r="W14" s="13">
        <f>TEXT(MOD(TIMEVALUE(W5)+20/1440,1),"HH:MM")</f>
        <v/>
      </c>
      <c r="X14" s="13">
        <f>TEXT(MOD(TIMEVALUE(X5)+20/1440,1),"HH:MM")</f>
        <v/>
      </c>
      <c r="Y14" s="13">
        <f>TEXT(MOD(TIMEVALUE(Y5)+20/1440,1),"HH:MM")</f>
        <v/>
      </c>
      <c r="Z14" s="13">
        <f>TEXT(MOD(TIMEVALUE(Z5)+20/1440,1),"HH:MM")</f>
        <v/>
      </c>
      <c r="AA14" s="13">
        <f>TEXT(MOD(TIMEVALUE(AA5)+20/1440,1),"HH:MM")</f>
        <v/>
      </c>
      <c r="AB14" s="13">
        <f>TEXT(MOD(TIMEVALUE(AB5)+20/1440,1),"HH:MM")</f>
        <v/>
      </c>
      <c r="AC14" s="13">
        <f>TEXT(MOD(TIMEVALUE(AC5)+20/1440,1),"HH:MM")</f>
        <v/>
      </c>
      <c r="AD14" s="13">
        <f>TEXT(MOD(TIMEVALUE(AD5)+20/1440,1),"HH:MM")</f>
        <v/>
      </c>
      <c r="AE14" s="13">
        <f>TEXT(MOD(TIMEVALUE(AE5)+20/1440,1),"HH:MM")</f>
        <v/>
      </c>
      <c r="AF14" s="13">
        <f>TEXT(MOD(TIMEVALUE(AF5)+20/1440,1),"HH:MM")</f>
        <v/>
      </c>
      <c r="AG14" s="13">
        <f>TEXT(MOD(TIMEVALUE(AG5)+20/1440,1),"HH:MM")</f>
        <v/>
      </c>
      <c r="AH14" s="13">
        <f>TEXT(MOD(TIMEVALUE(AH5)+20/1440,1),"HH:MM")</f>
        <v/>
      </c>
      <c r="AI14" s="13">
        <f>TEXT(MOD(TIMEVALUE(AI5)+20/1440,1),"HH:MM")</f>
        <v/>
      </c>
      <c r="AJ14" s="13">
        <f>TEXT(MOD(TIMEVALUE(AJ5)+20/1440,1),"HH:MM")</f>
        <v/>
      </c>
      <c r="AK14" s="13">
        <f>TEXT(MOD(TIMEVALUE(AK5)+20/1440,1),"HH:MM")</f>
        <v/>
      </c>
      <c r="AL14" s="13">
        <f>TEXT(MOD(TIMEVALUE(AL5)+20/1440,1),"HH:MM")</f>
        <v/>
      </c>
      <c r="AM14" s="13">
        <f>TEXT(MOD(TIMEVALUE(AM5)+20/1440,1),"HH:MM")</f>
        <v/>
      </c>
      <c r="AN14" s="13">
        <f>TEXT(MOD(TIMEVALUE(AN5)+20/1440,1),"HH:MM")</f>
        <v/>
      </c>
      <c r="AO14" s="13">
        <f>TEXT(MOD(TIMEVALUE(AO5)+20/1440,1),"HH:MM")</f>
        <v/>
      </c>
      <c r="AP14" s="13">
        <f>TEXT(MOD(TIMEVALUE(AP5)+20/1440,1),"HH:MM")</f>
        <v/>
      </c>
      <c r="AQ14" s="13">
        <f>TEXT(MOD(TIMEVALUE(AQ5)+20/1440,1),"HH:MM")</f>
        <v/>
      </c>
      <c r="AR14" s="13">
        <f>TEXT(MOD(TIMEVALUE(AR5)+20/1440,1),"HH:MM")</f>
        <v/>
      </c>
      <c r="AS14" s="13">
        <f>TEXT(MOD(TIMEVALUE(AS5)+20/1440,1),"HH:MM")</f>
        <v/>
      </c>
      <c r="AT14" s="13">
        <f>TEXT(MOD(TIMEVALUE(AT5)+20/1440,1),"HH:MM")</f>
        <v/>
      </c>
      <c r="AU14" s="13">
        <f>TEXT(MOD(TIMEVALUE(AU5)+20/1440,1),"HH:MM")</f>
        <v/>
      </c>
      <c r="AV14" s="13">
        <f>TEXT(MOD(TIMEVALUE(AV5)+20/1440,1),"HH:MM")</f>
        <v/>
      </c>
      <c r="AW14" s="13">
        <f>TEXT(MOD(TIMEVALUE(AW5)+20/1440,1),"HH:MM")</f>
        <v/>
      </c>
      <c r="AX14" s="13">
        <f>TEXT(MOD(TIMEVALUE(AX5)+20/1440,1),"HH:MM")</f>
        <v/>
      </c>
      <c r="AY14" s="13">
        <f>TEXT(MOD(TIMEVALUE(AY5)+20/1440,1),"HH:MM")</f>
        <v/>
      </c>
      <c r="AZ14" s="13">
        <f>TEXT(MOD(TIMEVALUE(AZ5)+20/1440,1),"HH:MM")</f>
        <v/>
      </c>
      <c r="BA14" s="13">
        <f>TEXT(MOD(TIMEVALUE(BA5)+20/1440,1),"HH:MM")</f>
        <v/>
      </c>
      <c r="BB14" s="13">
        <f>TEXT(MOD(TIMEVALUE(BB5)+20/1440,1),"HH:MM")</f>
        <v/>
      </c>
      <c r="BC14" s="13">
        <f>TEXT(MOD(TIMEVALUE(BC5)+20/1440,1),"HH:MM")</f>
        <v/>
      </c>
      <c r="BD14" s="13">
        <f>TEXT(MOD(TIMEVALUE(BD5)+20/1440,1),"HH:MM")</f>
        <v/>
      </c>
      <c r="BE14" s="13">
        <f>TEXT(MOD(TIMEVALUE(BE5)+20/1440,1),"HH:MM")</f>
        <v/>
      </c>
      <c r="BF14" s="13">
        <f>TEXT(MOD(TIMEVALUE(BF5)+20/1440,1),"HH:MM")</f>
        <v/>
      </c>
      <c r="BG14" s="13">
        <f>TEXT(MOD(TIMEVALUE(BG5)+20/1440,1),"HH:MM")</f>
        <v/>
      </c>
      <c r="BH14" s="13">
        <f>TEXT(MOD(TIMEVALUE(BH5)+20/1440,1),"HH:MM")</f>
        <v/>
      </c>
      <c r="BI14" s="13">
        <f>TEXT(MOD(TIMEVALUE(BI5)+20/1440,1),"HH:MM")</f>
        <v/>
      </c>
      <c r="BJ14" s="13">
        <f>TEXT(MOD(TIMEVALUE(BJ5)+20/1440,1),"HH:MM")</f>
        <v/>
      </c>
      <c r="BK14" s="13">
        <f>TEXT(MOD(TIMEVALUE(BK5)+20/1440,1),"HH:MM")</f>
        <v/>
      </c>
      <c r="BL14" s="13">
        <f>TEXT(MOD(TIMEVALUE(BL5)+20/1440,1),"HH:MM")</f>
        <v/>
      </c>
      <c r="BM14" s="13">
        <f>TEXT(MOD(TIMEVALUE(BM5)+20/1440,1),"HH:MM")</f>
        <v/>
      </c>
      <c r="BN14" s="13">
        <f>TEXT(MOD(TIMEVALUE(BN5)+20/1440,1),"HH:MM")</f>
        <v/>
      </c>
      <c r="BO14" s="13">
        <f>TEXT(MOD(TIMEVALUE(BO5)+20/1440,1),"HH:MM")</f>
        <v/>
      </c>
      <c r="BP14" s="13">
        <f>TEXT(MOD(TIMEVALUE(BP5)+20/1440,1),"HH:MM")</f>
        <v/>
      </c>
      <c r="BQ14" s="13">
        <f>TEXT(MOD(TIMEVALUE(BQ5)+20/1440,1),"HH:MM")</f>
        <v/>
      </c>
      <c r="BR14" s="13">
        <f>TEXT(MOD(TIMEVALUE(BR5)+20/1440,1),"HH:MM")</f>
        <v/>
      </c>
      <c r="BS14" s="13">
        <f>TEXT(MOD(TIMEVALUE(BS5)+20/1440,1),"HH:MM")</f>
        <v/>
      </c>
      <c r="BT14" s="13">
        <f>TEXT(MOD(TIMEVALUE(BT5)+20/1440,1),"HH:MM")</f>
        <v/>
      </c>
      <c r="BU14" s="13">
        <f>TEXT(MOD(TIMEVALUE(BU5)+20/1440,1),"HH:MM")</f>
        <v/>
      </c>
      <c r="BV14" s="13">
        <f>TEXT(MOD(TIMEVALUE(BV5)+20/1440,1),"HH:MM")</f>
        <v/>
      </c>
      <c r="BW14" s="13">
        <f>TEXT(MOD(TIMEVALUE(BW5)+20/1440,1),"HH:MM")</f>
        <v/>
      </c>
      <c r="BX14" s="13">
        <f>TEXT(MOD(TIMEVALUE(BX5)+20/1440,1),"HH:MM")</f>
        <v/>
      </c>
      <c r="BY14" s="13">
        <f>TEXT(MOD(TIMEVALUE(BY5)+20/1440,1),"HH:MM")</f>
        <v/>
      </c>
      <c r="BZ14" s="13">
        <f>TEXT(MOD(TIMEVALUE(BZ5)+20/1440,1),"HH:MM")</f>
        <v/>
      </c>
      <c r="CA14" s="13">
        <f>TEXT(MOD(TIMEVALUE(CA5)+20/1440,1),"HH:MM")</f>
        <v/>
      </c>
      <c r="CB14" s="13">
        <f>TEXT(MOD(TIMEVALUE(CB5)+20/1440,1),"HH:MM")</f>
        <v/>
      </c>
      <c r="CC14" s="13">
        <f>TEXT(MOD(TIMEVALUE(CC5)+20/1440,1),"HH:MM")</f>
        <v/>
      </c>
      <c r="CD14" s="13">
        <f>TEXT(MOD(TIMEVALUE(CD5)+20/1440,1),"HH:MM")</f>
        <v/>
      </c>
      <c r="CE14" s="13">
        <f>TEXT(MOD(TIMEVALUE(CE5)+20/1440,1),"HH:MM")</f>
        <v/>
      </c>
      <c r="CF14" s="13">
        <f>TEXT(MOD(TIMEVALUE(CF5)+20/1440,1),"HH:MM")</f>
        <v/>
      </c>
      <c r="CG14" s="13">
        <f>TEXT(MOD(TIMEVALUE(CG5)+20/1440,1),"HH:MM")</f>
        <v/>
      </c>
      <c r="CH14" s="13">
        <f>TEXT(MOD(TIMEVALUE(CH5)+20/1440,1),"HH:MM")</f>
        <v/>
      </c>
      <c r="CI14" s="13">
        <f>TEXT(MOD(TIMEVALUE(CI5)+20/1440,1),"HH:MM")</f>
        <v/>
      </c>
      <c r="CJ14" s="13">
        <f>TEXT(MOD(TIMEVALUE(CJ5)+20/1440,1),"HH:MM")</f>
        <v/>
      </c>
      <c r="CK14" s="13">
        <f>TEXT(MOD(TIMEVALUE(CK5)+20/1440,1),"HH:MM")</f>
        <v/>
      </c>
      <c r="CL14" s="13">
        <f>TEXT(MOD(TIMEVALUE(CL5)+20/1440,1),"HH:MM")</f>
        <v/>
      </c>
      <c r="CM14" s="13">
        <f>TEXT(MOD(TIMEVALUE(CM5)+20/1440,1),"HH:MM")</f>
        <v/>
      </c>
      <c r="CN14" s="13">
        <f>TEXT(MOD(TIMEVALUE(CN5)+20/1440,1),"HH:MM")</f>
        <v/>
      </c>
      <c r="CO14" s="13">
        <f>TEXT(MOD(TIMEVALUE(CO5)+20/1440,1),"HH:MM")</f>
        <v/>
      </c>
      <c r="CP14" s="13">
        <f>TEXT(MOD(TIMEVALUE(CP5)+20/1440,1),"HH:MM")</f>
        <v/>
      </c>
    </row>
    <row r="15" ht="16.5" customHeight="1" s="26">
      <c r="A15" s="14" t="inlineStr">
        <is>
          <t>Pedro Podestá</t>
        </is>
      </c>
      <c r="B15" s="15">
        <f>TEXT(MOD(TIMEVALUE(B5)+22/1440,1),"HH:MM")</f>
        <v/>
      </c>
      <c r="C15" s="15">
        <f>TEXT(MOD(TIMEVALUE(C5)+22/1440,1),"HH:MM")</f>
        <v/>
      </c>
      <c r="D15" s="15">
        <f>TEXT(MOD(TIMEVALUE(D5)+22/1440,1),"HH:MM")</f>
        <v/>
      </c>
      <c r="E15" s="15">
        <f>TEXT(MOD(TIMEVALUE(E5)+22/1440,1),"HH:MM")</f>
        <v/>
      </c>
      <c r="F15" s="15">
        <f>TEXT(MOD(TIMEVALUE(F5)+22/1440,1),"HH:MM")</f>
        <v/>
      </c>
      <c r="G15" s="15">
        <f>TEXT(MOD(TIMEVALUE(G5)+22/1440,1),"HH:MM")</f>
        <v/>
      </c>
      <c r="H15" s="15">
        <f>TEXT(MOD(TIMEVALUE(H5)+22/1440,1),"HH:MM")</f>
        <v/>
      </c>
      <c r="I15" s="15">
        <f>TEXT(MOD(TIMEVALUE(I5)+22/1440,1),"HH:MM")</f>
        <v/>
      </c>
      <c r="J15" s="15">
        <f>TEXT(MOD(TIMEVALUE(J5)+22/1440,1),"HH:MM")</f>
        <v/>
      </c>
      <c r="K15" s="15">
        <f>TEXT(MOD(TIMEVALUE(K5)+22/1440,1),"HH:MM")</f>
        <v/>
      </c>
      <c r="L15" s="15">
        <f>TEXT(MOD(TIMEVALUE(L5)+22/1440,1),"HH:MM")</f>
        <v/>
      </c>
      <c r="M15" s="15">
        <f>TEXT(MOD(TIMEVALUE(M5)+22/1440,1),"HH:MM")</f>
        <v/>
      </c>
      <c r="N15" s="15">
        <f>TEXT(MOD(TIMEVALUE(N5)+22/1440,1),"HH:MM")</f>
        <v/>
      </c>
      <c r="O15" s="15">
        <f>TEXT(MOD(TIMEVALUE(O5)+22/1440,1),"HH:MM")</f>
        <v/>
      </c>
      <c r="P15" s="15">
        <f>TEXT(MOD(TIMEVALUE(P5)+22/1440,1),"HH:MM")</f>
        <v/>
      </c>
      <c r="Q15" s="15">
        <f>TEXT(MOD(TIMEVALUE(Q5)+22/1440,1),"HH:MM")</f>
        <v/>
      </c>
      <c r="R15" s="15">
        <f>TEXT(MOD(TIMEVALUE(R5)+22/1440,1),"HH:MM")</f>
        <v/>
      </c>
      <c r="S15" s="15">
        <f>TEXT(MOD(TIMEVALUE(S5)+22/1440,1),"HH:MM")</f>
        <v/>
      </c>
      <c r="T15" s="15">
        <f>TEXT(MOD(TIMEVALUE(T5)+22/1440,1),"HH:MM")</f>
        <v/>
      </c>
      <c r="U15" s="15">
        <f>TEXT(MOD(TIMEVALUE(U5)+22/1440,1),"HH:MM")</f>
        <v/>
      </c>
      <c r="V15" s="15">
        <f>TEXT(MOD(TIMEVALUE(V5)+22/1440,1),"HH:MM")</f>
        <v/>
      </c>
      <c r="W15" s="15">
        <f>TEXT(MOD(TIMEVALUE(W5)+22/1440,1),"HH:MM")</f>
        <v/>
      </c>
      <c r="X15" s="15">
        <f>TEXT(MOD(TIMEVALUE(X5)+22/1440,1),"HH:MM")</f>
        <v/>
      </c>
      <c r="Y15" s="15">
        <f>TEXT(MOD(TIMEVALUE(Y5)+22/1440,1),"HH:MM")</f>
        <v/>
      </c>
      <c r="Z15" s="15">
        <f>TEXT(MOD(TIMEVALUE(Z5)+22/1440,1),"HH:MM")</f>
        <v/>
      </c>
      <c r="AA15" s="15">
        <f>TEXT(MOD(TIMEVALUE(AA5)+22/1440,1),"HH:MM")</f>
        <v/>
      </c>
      <c r="AB15" s="15">
        <f>TEXT(MOD(TIMEVALUE(AB5)+22/1440,1),"HH:MM")</f>
        <v/>
      </c>
      <c r="AC15" s="15">
        <f>TEXT(MOD(TIMEVALUE(AC5)+22/1440,1),"HH:MM")</f>
        <v/>
      </c>
      <c r="AD15" s="15">
        <f>TEXT(MOD(TIMEVALUE(AD5)+22/1440,1),"HH:MM")</f>
        <v/>
      </c>
      <c r="AE15" s="15">
        <f>TEXT(MOD(TIMEVALUE(AE5)+22/1440,1),"HH:MM")</f>
        <v/>
      </c>
      <c r="AF15" s="15">
        <f>TEXT(MOD(TIMEVALUE(AF5)+22/1440,1),"HH:MM")</f>
        <v/>
      </c>
      <c r="AG15" s="15">
        <f>TEXT(MOD(TIMEVALUE(AG5)+22/1440,1),"HH:MM")</f>
        <v/>
      </c>
      <c r="AH15" s="15">
        <f>TEXT(MOD(TIMEVALUE(AH5)+22/1440,1),"HH:MM")</f>
        <v/>
      </c>
      <c r="AI15" s="15">
        <f>TEXT(MOD(TIMEVALUE(AI5)+22/1440,1),"HH:MM")</f>
        <v/>
      </c>
      <c r="AJ15" s="15">
        <f>TEXT(MOD(TIMEVALUE(AJ5)+22/1440,1),"HH:MM")</f>
        <v/>
      </c>
      <c r="AK15" s="15">
        <f>TEXT(MOD(TIMEVALUE(AK5)+22/1440,1),"HH:MM")</f>
        <v/>
      </c>
      <c r="AL15" s="15">
        <f>TEXT(MOD(TIMEVALUE(AL5)+22/1440,1),"HH:MM")</f>
        <v/>
      </c>
      <c r="AM15" s="15">
        <f>TEXT(MOD(TIMEVALUE(AM5)+22/1440,1),"HH:MM")</f>
        <v/>
      </c>
      <c r="AN15" s="15">
        <f>TEXT(MOD(TIMEVALUE(AN5)+22/1440,1),"HH:MM")</f>
        <v/>
      </c>
      <c r="AO15" s="15">
        <f>TEXT(MOD(TIMEVALUE(AO5)+22/1440,1),"HH:MM")</f>
        <v/>
      </c>
      <c r="AP15" s="15">
        <f>TEXT(MOD(TIMEVALUE(AP5)+22/1440,1),"HH:MM")</f>
        <v/>
      </c>
      <c r="AQ15" s="15">
        <f>TEXT(MOD(TIMEVALUE(AQ5)+22/1440,1),"HH:MM")</f>
        <v/>
      </c>
      <c r="AR15" s="15">
        <f>TEXT(MOD(TIMEVALUE(AR5)+22/1440,1),"HH:MM")</f>
        <v/>
      </c>
      <c r="AS15" s="15">
        <f>TEXT(MOD(TIMEVALUE(AS5)+22/1440,1),"HH:MM")</f>
        <v/>
      </c>
      <c r="AT15" s="15">
        <f>TEXT(MOD(TIMEVALUE(AT5)+22/1440,1),"HH:MM")</f>
        <v/>
      </c>
      <c r="AU15" s="15">
        <f>TEXT(MOD(TIMEVALUE(AU5)+22/1440,1),"HH:MM")</f>
        <v/>
      </c>
      <c r="AV15" s="15">
        <f>TEXT(MOD(TIMEVALUE(AV5)+22/1440,1),"HH:MM")</f>
        <v/>
      </c>
      <c r="AW15" s="15">
        <f>TEXT(MOD(TIMEVALUE(AW5)+22/1440,1),"HH:MM")</f>
        <v/>
      </c>
      <c r="AX15" s="15">
        <f>TEXT(MOD(TIMEVALUE(AX5)+22/1440,1),"HH:MM")</f>
        <v/>
      </c>
      <c r="AY15" s="15">
        <f>TEXT(MOD(TIMEVALUE(AY5)+22/1440,1),"HH:MM")</f>
        <v/>
      </c>
      <c r="AZ15" s="15">
        <f>TEXT(MOD(TIMEVALUE(AZ5)+22/1440,1),"HH:MM")</f>
        <v/>
      </c>
      <c r="BA15" s="15">
        <f>TEXT(MOD(TIMEVALUE(BA5)+22/1440,1),"HH:MM")</f>
        <v/>
      </c>
      <c r="BB15" s="15">
        <f>TEXT(MOD(TIMEVALUE(BB5)+22/1440,1),"HH:MM")</f>
        <v/>
      </c>
      <c r="BC15" s="15">
        <f>TEXT(MOD(TIMEVALUE(BC5)+22/1440,1),"HH:MM")</f>
        <v/>
      </c>
      <c r="BD15" s="15">
        <f>TEXT(MOD(TIMEVALUE(BD5)+22/1440,1),"HH:MM")</f>
        <v/>
      </c>
      <c r="BE15" s="15">
        <f>TEXT(MOD(TIMEVALUE(BE5)+22/1440,1),"HH:MM")</f>
        <v/>
      </c>
      <c r="BF15" s="15">
        <f>TEXT(MOD(TIMEVALUE(BF5)+22/1440,1),"HH:MM")</f>
        <v/>
      </c>
      <c r="BG15" s="15">
        <f>TEXT(MOD(TIMEVALUE(BG5)+22/1440,1),"HH:MM")</f>
        <v/>
      </c>
      <c r="BH15" s="15">
        <f>TEXT(MOD(TIMEVALUE(BH5)+22/1440,1),"HH:MM")</f>
        <v/>
      </c>
      <c r="BI15" s="15">
        <f>TEXT(MOD(TIMEVALUE(BI5)+22/1440,1),"HH:MM")</f>
        <v/>
      </c>
      <c r="BJ15" s="15">
        <f>TEXT(MOD(TIMEVALUE(BJ5)+22/1440,1),"HH:MM")</f>
        <v/>
      </c>
      <c r="BK15" s="15">
        <f>TEXT(MOD(TIMEVALUE(BK5)+22/1440,1),"HH:MM")</f>
        <v/>
      </c>
      <c r="BL15" s="15">
        <f>TEXT(MOD(TIMEVALUE(BL5)+22/1440,1),"HH:MM")</f>
        <v/>
      </c>
      <c r="BM15" s="15">
        <f>TEXT(MOD(TIMEVALUE(BM5)+22/1440,1),"HH:MM")</f>
        <v/>
      </c>
      <c r="BN15" s="15">
        <f>TEXT(MOD(TIMEVALUE(BN5)+22/1440,1),"HH:MM")</f>
        <v/>
      </c>
      <c r="BO15" s="15">
        <f>TEXT(MOD(TIMEVALUE(BO5)+22/1440,1),"HH:MM")</f>
        <v/>
      </c>
      <c r="BP15" s="15">
        <f>TEXT(MOD(TIMEVALUE(BP5)+22/1440,1),"HH:MM")</f>
        <v/>
      </c>
      <c r="BQ15" s="15">
        <f>TEXT(MOD(TIMEVALUE(BQ5)+22/1440,1),"HH:MM")</f>
        <v/>
      </c>
      <c r="BR15" s="15">
        <f>TEXT(MOD(TIMEVALUE(BR5)+22/1440,1),"HH:MM")</f>
        <v/>
      </c>
      <c r="BS15" s="15">
        <f>TEXT(MOD(TIMEVALUE(BS5)+22/1440,1),"HH:MM")</f>
        <v/>
      </c>
      <c r="BT15" s="15">
        <f>TEXT(MOD(TIMEVALUE(BT5)+22/1440,1),"HH:MM")</f>
        <v/>
      </c>
      <c r="BU15" s="15">
        <f>TEXT(MOD(TIMEVALUE(BU5)+22/1440,1),"HH:MM")</f>
        <v/>
      </c>
      <c r="BV15" s="15">
        <f>TEXT(MOD(TIMEVALUE(BV5)+22/1440,1),"HH:MM")</f>
        <v/>
      </c>
      <c r="BW15" s="15">
        <f>TEXT(MOD(TIMEVALUE(BW5)+22/1440,1),"HH:MM")</f>
        <v/>
      </c>
      <c r="BX15" s="15">
        <f>TEXT(MOD(TIMEVALUE(BX5)+22/1440,1),"HH:MM")</f>
        <v/>
      </c>
      <c r="BY15" s="15">
        <f>TEXT(MOD(TIMEVALUE(BY5)+22/1440,1),"HH:MM")</f>
        <v/>
      </c>
      <c r="BZ15" s="15">
        <f>TEXT(MOD(TIMEVALUE(BZ5)+22/1440,1),"HH:MM")</f>
        <v/>
      </c>
      <c r="CA15" s="15">
        <f>TEXT(MOD(TIMEVALUE(CA5)+22/1440,1),"HH:MM")</f>
        <v/>
      </c>
      <c r="CB15" s="15">
        <f>TEXT(MOD(TIMEVALUE(CB5)+22/1440,1),"HH:MM")</f>
        <v/>
      </c>
      <c r="CC15" s="15">
        <f>TEXT(MOD(TIMEVALUE(CC5)+22/1440,1),"HH:MM")</f>
        <v/>
      </c>
      <c r="CD15" s="15">
        <f>TEXT(MOD(TIMEVALUE(CD5)+22/1440,1),"HH:MM")</f>
        <v/>
      </c>
      <c r="CE15" s="15">
        <f>TEXT(MOD(TIMEVALUE(CE5)+22/1440,1),"HH:MM")</f>
        <v/>
      </c>
      <c r="CF15" s="15">
        <f>TEXT(MOD(TIMEVALUE(CF5)+22/1440,1),"HH:MM")</f>
        <v/>
      </c>
      <c r="CG15" s="15">
        <f>TEXT(MOD(TIMEVALUE(CG5)+22/1440,1),"HH:MM")</f>
        <v/>
      </c>
      <c r="CH15" s="15">
        <f>TEXT(MOD(TIMEVALUE(CH5)+22/1440,1),"HH:MM")</f>
        <v/>
      </c>
      <c r="CI15" s="15">
        <f>TEXT(MOD(TIMEVALUE(CI5)+22/1440,1),"HH:MM")</f>
        <v/>
      </c>
      <c r="CJ15" s="15">
        <f>TEXT(MOD(TIMEVALUE(CJ5)+22/1440,1),"HH:MM")</f>
        <v/>
      </c>
      <c r="CK15" s="15">
        <f>TEXT(MOD(TIMEVALUE(CK5)+22/1440,1),"HH:MM")</f>
        <v/>
      </c>
      <c r="CL15" s="15">
        <f>TEXT(MOD(TIMEVALUE(CL5)+22/1440,1),"HH:MM")</f>
        <v/>
      </c>
      <c r="CM15" s="15">
        <f>TEXT(MOD(TIMEVALUE(CM5)+22/1440,1),"HH:MM")</f>
        <v/>
      </c>
      <c r="CN15" s="15">
        <f>TEXT(MOD(TIMEVALUE(CN5)+22/1440,1),"HH:MM")</f>
        <v/>
      </c>
      <c r="CO15" s="15">
        <f>TEXT(MOD(TIMEVALUE(CO5)+22/1440,1),"HH:MM")</f>
        <v/>
      </c>
      <c r="CP15" s="15">
        <f>TEXT(MOD(TIMEVALUE(CP5)+22/1440,1),"HH:MM")</f>
        <v/>
      </c>
    </row>
    <row r="16" ht="16.5" customHeight="1" s="26">
      <c r="A16" s="12" t="inlineStr">
        <is>
          <t>Martín Coronado</t>
        </is>
      </c>
      <c r="B16" s="13">
        <f>TEXT(MOD(TIMEVALUE(B5)+24/1440,1),"HH:MM")</f>
        <v/>
      </c>
      <c r="C16" s="13">
        <f>TEXT(MOD(TIMEVALUE(C5)+24/1440,1),"HH:MM")</f>
        <v/>
      </c>
      <c r="D16" s="13">
        <f>TEXT(MOD(TIMEVALUE(D5)+24/1440,1),"HH:MM")</f>
        <v/>
      </c>
      <c r="E16" s="13">
        <f>TEXT(MOD(TIMEVALUE(E5)+24/1440,1),"HH:MM")</f>
        <v/>
      </c>
      <c r="F16" s="13">
        <f>TEXT(MOD(TIMEVALUE(F5)+24/1440,1),"HH:MM")</f>
        <v/>
      </c>
      <c r="G16" s="13">
        <f>TEXT(MOD(TIMEVALUE(G5)+24/1440,1),"HH:MM")</f>
        <v/>
      </c>
      <c r="H16" s="13">
        <f>TEXT(MOD(TIMEVALUE(H5)+24/1440,1),"HH:MM")</f>
        <v/>
      </c>
      <c r="I16" s="13">
        <f>TEXT(MOD(TIMEVALUE(I5)+24/1440,1),"HH:MM")</f>
        <v/>
      </c>
      <c r="J16" s="13">
        <f>TEXT(MOD(TIMEVALUE(J5)+24/1440,1),"HH:MM")</f>
        <v/>
      </c>
      <c r="K16" s="13">
        <f>TEXT(MOD(TIMEVALUE(K5)+24/1440,1),"HH:MM")</f>
        <v/>
      </c>
      <c r="L16" s="13">
        <f>TEXT(MOD(TIMEVALUE(L5)+24/1440,1),"HH:MM")</f>
        <v/>
      </c>
      <c r="M16" s="13">
        <f>TEXT(MOD(TIMEVALUE(M5)+24/1440,1),"HH:MM")</f>
        <v/>
      </c>
      <c r="N16" s="13">
        <f>TEXT(MOD(TIMEVALUE(N5)+24/1440,1),"HH:MM")</f>
        <v/>
      </c>
      <c r="O16" s="13">
        <f>TEXT(MOD(TIMEVALUE(O5)+24/1440,1),"HH:MM")</f>
        <v/>
      </c>
      <c r="P16" s="13">
        <f>TEXT(MOD(TIMEVALUE(P5)+24/1440,1),"HH:MM")</f>
        <v/>
      </c>
      <c r="Q16" s="13">
        <f>TEXT(MOD(TIMEVALUE(Q5)+24/1440,1),"HH:MM")</f>
        <v/>
      </c>
      <c r="R16" s="13">
        <f>TEXT(MOD(TIMEVALUE(R5)+24/1440,1),"HH:MM")</f>
        <v/>
      </c>
      <c r="S16" s="13">
        <f>TEXT(MOD(TIMEVALUE(S5)+24/1440,1),"HH:MM")</f>
        <v/>
      </c>
      <c r="T16" s="13">
        <f>TEXT(MOD(TIMEVALUE(T5)+24/1440,1),"HH:MM")</f>
        <v/>
      </c>
      <c r="U16" s="13">
        <f>TEXT(MOD(TIMEVALUE(U5)+24/1440,1),"HH:MM")</f>
        <v/>
      </c>
      <c r="V16" s="13">
        <f>TEXT(MOD(TIMEVALUE(V5)+24/1440,1),"HH:MM")</f>
        <v/>
      </c>
      <c r="W16" s="13">
        <f>TEXT(MOD(TIMEVALUE(W5)+24/1440,1),"HH:MM")</f>
        <v/>
      </c>
      <c r="X16" s="13">
        <f>TEXT(MOD(TIMEVALUE(X5)+24/1440,1),"HH:MM")</f>
        <v/>
      </c>
      <c r="Y16" s="13">
        <f>TEXT(MOD(TIMEVALUE(Y5)+24/1440,1),"HH:MM")</f>
        <v/>
      </c>
      <c r="Z16" s="13">
        <f>TEXT(MOD(TIMEVALUE(Z5)+24/1440,1),"HH:MM")</f>
        <v/>
      </c>
      <c r="AA16" s="13">
        <f>TEXT(MOD(TIMEVALUE(AA5)+24/1440,1),"HH:MM")</f>
        <v/>
      </c>
      <c r="AB16" s="13">
        <f>TEXT(MOD(TIMEVALUE(AB5)+24/1440,1),"HH:MM")</f>
        <v/>
      </c>
      <c r="AC16" s="13">
        <f>TEXT(MOD(TIMEVALUE(AC5)+24/1440,1),"HH:MM")</f>
        <v/>
      </c>
      <c r="AD16" s="13">
        <f>TEXT(MOD(TIMEVALUE(AD5)+24/1440,1),"HH:MM")</f>
        <v/>
      </c>
      <c r="AE16" s="13">
        <f>TEXT(MOD(TIMEVALUE(AE5)+24/1440,1),"HH:MM")</f>
        <v/>
      </c>
      <c r="AF16" s="13">
        <f>TEXT(MOD(TIMEVALUE(AF5)+24/1440,1),"HH:MM")</f>
        <v/>
      </c>
      <c r="AG16" s="13">
        <f>TEXT(MOD(TIMEVALUE(AG5)+24/1440,1),"HH:MM")</f>
        <v/>
      </c>
      <c r="AH16" s="13">
        <f>TEXT(MOD(TIMEVALUE(AH5)+24/1440,1),"HH:MM")</f>
        <v/>
      </c>
      <c r="AI16" s="13">
        <f>TEXT(MOD(TIMEVALUE(AI5)+24/1440,1),"HH:MM")</f>
        <v/>
      </c>
      <c r="AJ16" s="13">
        <f>TEXT(MOD(TIMEVALUE(AJ5)+24/1440,1),"HH:MM")</f>
        <v/>
      </c>
      <c r="AK16" s="13">
        <f>TEXT(MOD(TIMEVALUE(AK5)+24/1440,1),"HH:MM")</f>
        <v/>
      </c>
      <c r="AL16" s="13">
        <f>TEXT(MOD(TIMEVALUE(AL5)+24/1440,1),"HH:MM")</f>
        <v/>
      </c>
      <c r="AM16" s="13">
        <f>TEXT(MOD(TIMEVALUE(AM5)+24/1440,1),"HH:MM")</f>
        <v/>
      </c>
      <c r="AN16" s="13">
        <f>TEXT(MOD(TIMEVALUE(AN5)+24/1440,1),"HH:MM")</f>
        <v/>
      </c>
      <c r="AO16" s="13">
        <f>TEXT(MOD(TIMEVALUE(AO5)+24/1440,1),"HH:MM")</f>
        <v/>
      </c>
      <c r="AP16" s="13">
        <f>TEXT(MOD(TIMEVALUE(AP5)+24/1440,1),"HH:MM")</f>
        <v/>
      </c>
      <c r="AQ16" s="13">
        <f>TEXT(MOD(TIMEVALUE(AQ5)+24/1440,1),"HH:MM")</f>
        <v/>
      </c>
      <c r="AR16" s="13">
        <f>TEXT(MOD(TIMEVALUE(AR5)+24/1440,1),"HH:MM")</f>
        <v/>
      </c>
      <c r="AS16" s="13">
        <f>TEXT(MOD(TIMEVALUE(AS5)+24/1440,1),"HH:MM")</f>
        <v/>
      </c>
      <c r="AT16" s="13">
        <f>TEXT(MOD(TIMEVALUE(AT5)+24/1440,1),"HH:MM")</f>
        <v/>
      </c>
      <c r="AU16" s="13">
        <f>TEXT(MOD(TIMEVALUE(AU5)+24/1440,1),"HH:MM")</f>
        <v/>
      </c>
      <c r="AV16" s="13">
        <f>TEXT(MOD(TIMEVALUE(AV5)+24/1440,1),"HH:MM")</f>
        <v/>
      </c>
      <c r="AW16" s="13">
        <f>TEXT(MOD(TIMEVALUE(AW5)+24/1440,1),"HH:MM")</f>
        <v/>
      </c>
      <c r="AX16" s="13">
        <f>TEXT(MOD(TIMEVALUE(AX5)+24/1440,1),"HH:MM")</f>
        <v/>
      </c>
      <c r="AY16" s="13">
        <f>TEXT(MOD(TIMEVALUE(AY5)+24/1440,1),"HH:MM")</f>
        <v/>
      </c>
      <c r="AZ16" s="13">
        <f>TEXT(MOD(TIMEVALUE(AZ5)+24/1440,1),"HH:MM")</f>
        <v/>
      </c>
      <c r="BA16" s="13">
        <f>TEXT(MOD(TIMEVALUE(BA5)+24/1440,1),"HH:MM")</f>
        <v/>
      </c>
      <c r="BB16" s="13">
        <f>TEXT(MOD(TIMEVALUE(BB5)+24/1440,1),"HH:MM")</f>
        <v/>
      </c>
      <c r="BC16" s="13">
        <f>TEXT(MOD(TIMEVALUE(BC5)+24/1440,1),"HH:MM")</f>
        <v/>
      </c>
      <c r="BD16" s="13">
        <f>TEXT(MOD(TIMEVALUE(BD5)+24/1440,1),"HH:MM")</f>
        <v/>
      </c>
      <c r="BE16" s="13">
        <f>TEXT(MOD(TIMEVALUE(BE5)+24/1440,1),"HH:MM")</f>
        <v/>
      </c>
      <c r="BF16" s="13">
        <f>TEXT(MOD(TIMEVALUE(BF5)+24/1440,1),"HH:MM")</f>
        <v/>
      </c>
      <c r="BG16" s="13">
        <f>TEXT(MOD(TIMEVALUE(BG5)+24/1440,1),"HH:MM")</f>
        <v/>
      </c>
      <c r="BH16" s="13">
        <f>TEXT(MOD(TIMEVALUE(BH5)+24/1440,1),"HH:MM")</f>
        <v/>
      </c>
      <c r="BI16" s="13">
        <f>TEXT(MOD(TIMEVALUE(BI5)+24/1440,1),"HH:MM")</f>
        <v/>
      </c>
      <c r="BJ16" s="13">
        <f>TEXT(MOD(TIMEVALUE(BJ5)+24/1440,1),"HH:MM")</f>
        <v/>
      </c>
      <c r="BK16" s="13">
        <f>TEXT(MOD(TIMEVALUE(BK5)+24/1440,1),"HH:MM")</f>
        <v/>
      </c>
      <c r="BL16" s="13">
        <f>TEXT(MOD(TIMEVALUE(BL5)+24/1440,1),"HH:MM")</f>
        <v/>
      </c>
      <c r="BM16" s="13">
        <f>TEXT(MOD(TIMEVALUE(BM5)+24/1440,1),"HH:MM")</f>
        <v/>
      </c>
      <c r="BN16" s="13">
        <f>TEXT(MOD(TIMEVALUE(BN5)+24/1440,1),"HH:MM")</f>
        <v/>
      </c>
      <c r="BO16" s="13">
        <f>TEXT(MOD(TIMEVALUE(BO5)+24/1440,1),"HH:MM")</f>
        <v/>
      </c>
      <c r="BP16" s="13">
        <f>TEXT(MOD(TIMEVALUE(BP5)+24/1440,1),"HH:MM")</f>
        <v/>
      </c>
      <c r="BQ16" s="13">
        <f>TEXT(MOD(TIMEVALUE(BQ5)+24/1440,1),"HH:MM")</f>
        <v/>
      </c>
      <c r="BR16" s="13">
        <f>TEXT(MOD(TIMEVALUE(BR5)+24/1440,1),"HH:MM")</f>
        <v/>
      </c>
      <c r="BS16" s="13">
        <f>TEXT(MOD(TIMEVALUE(BS5)+24/1440,1),"HH:MM")</f>
        <v/>
      </c>
      <c r="BT16" s="13">
        <f>TEXT(MOD(TIMEVALUE(BT5)+24/1440,1),"HH:MM")</f>
        <v/>
      </c>
      <c r="BU16" s="13">
        <f>TEXT(MOD(TIMEVALUE(BU5)+24/1440,1),"HH:MM")</f>
        <v/>
      </c>
      <c r="BV16" s="13">
        <f>TEXT(MOD(TIMEVALUE(BV5)+24/1440,1),"HH:MM")</f>
        <v/>
      </c>
      <c r="BW16" s="13">
        <f>TEXT(MOD(TIMEVALUE(BW5)+24/1440,1),"HH:MM")</f>
        <v/>
      </c>
      <c r="BX16" s="13">
        <f>TEXT(MOD(TIMEVALUE(BX5)+24/1440,1),"HH:MM")</f>
        <v/>
      </c>
      <c r="BY16" s="13">
        <f>TEXT(MOD(TIMEVALUE(BY5)+24/1440,1),"HH:MM")</f>
        <v/>
      </c>
      <c r="BZ16" s="13">
        <f>TEXT(MOD(TIMEVALUE(BZ5)+24/1440,1),"HH:MM")</f>
        <v/>
      </c>
      <c r="CA16" s="13">
        <f>TEXT(MOD(TIMEVALUE(CA5)+24/1440,1),"HH:MM")</f>
        <v/>
      </c>
      <c r="CB16" s="13">
        <f>TEXT(MOD(TIMEVALUE(CB5)+24/1440,1),"HH:MM")</f>
        <v/>
      </c>
      <c r="CC16" s="13">
        <f>TEXT(MOD(TIMEVALUE(CC5)+24/1440,1),"HH:MM")</f>
        <v/>
      </c>
      <c r="CD16" s="13">
        <f>TEXT(MOD(TIMEVALUE(CD5)+24/1440,1),"HH:MM")</f>
        <v/>
      </c>
      <c r="CE16" s="13">
        <f>TEXT(MOD(TIMEVALUE(CE5)+24/1440,1),"HH:MM")</f>
        <v/>
      </c>
      <c r="CF16" s="13">
        <f>TEXT(MOD(TIMEVALUE(CF5)+24/1440,1),"HH:MM")</f>
        <v/>
      </c>
      <c r="CG16" s="13">
        <f>TEXT(MOD(TIMEVALUE(CG5)+24/1440,1),"HH:MM")</f>
        <v/>
      </c>
      <c r="CH16" s="13">
        <f>TEXT(MOD(TIMEVALUE(CH5)+24/1440,1),"HH:MM")</f>
        <v/>
      </c>
      <c r="CI16" s="13">
        <f>TEXT(MOD(TIMEVALUE(CI5)+24/1440,1),"HH:MM")</f>
        <v/>
      </c>
      <c r="CJ16" s="13">
        <f>TEXT(MOD(TIMEVALUE(CJ5)+24/1440,1),"HH:MM")</f>
        <v/>
      </c>
      <c r="CK16" s="13">
        <f>TEXT(MOD(TIMEVALUE(CK5)+24/1440,1),"HH:MM")</f>
        <v/>
      </c>
      <c r="CL16" s="13">
        <f>TEXT(MOD(TIMEVALUE(CL5)+24/1440,1),"HH:MM")</f>
        <v/>
      </c>
      <c r="CM16" s="13">
        <f>TEXT(MOD(TIMEVALUE(CM5)+24/1440,1),"HH:MM")</f>
        <v/>
      </c>
      <c r="CN16" s="13">
        <f>TEXT(MOD(TIMEVALUE(CN5)+24/1440,1),"HH:MM")</f>
        <v/>
      </c>
      <c r="CO16" s="13">
        <f>TEXT(MOD(TIMEVALUE(CO5)+24/1440,1),"HH:MM")</f>
        <v/>
      </c>
      <c r="CP16" s="13">
        <f>TEXT(MOD(TIMEVALUE(CP5)+24/1440,1),"HH:MM")</f>
        <v/>
      </c>
    </row>
    <row r="17" ht="16.5" customHeight="1" s="26">
      <c r="A17" s="14" t="inlineStr">
        <is>
          <t>José M. Bosch</t>
        </is>
      </c>
      <c r="B17" s="15">
        <f>TEXT(MOD(TIMEVALUE(B5)+27/1440,1),"HH:MM")</f>
        <v/>
      </c>
      <c r="C17" s="15">
        <f>TEXT(MOD(TIMEVALUE(C5)+27/1440,1),"HH:MM")</f>
        <v/>
      </c>
      <c r="D17" s="15">
        <f>TEXT(MOD(TIMEVALUE(D5)+27/1440,1),"HH:MM")</f>
        <v/>
      </c>
      <c r="E17" s="15">
        <f>TEXT(MOD(TIMEVALUE(E5)+27/1440,1),"HH:MM")</f>
        <v/>
      </c>
      <c r="F17" s="15">
        <f>TEXT(MOD(TIMEVALUE(F5)+27/1440,1),"HH:MM")</f>
        <v/>
      </c>
      <c r="G17" s="15">
        <f>TEXT(MOD(TIMEVALUE(G5)+27/1440,1),"HH:MM")</f>
        <v/>
      </c>
      <c r="H17" s="15">
        <f>TEXT(MOD(TIMEVALUE(H5)+27/1440,1),"HH:MM")</f>
        <v/>
      </c>
      <c r="I17" s="15">
        <f>TEXT(MOD(TIMEVALUE(I5)+27/1440,1),"HH:MM")</f>
        <v/>
      </c>
      <c r="J17" s="15">
        <f>TEXT(MOD(TIMEVALUE(J5)+27/1440,1),"HH:MM")</f>
        <v/>
      </c>
      <c r="K17" s="15">
        <f>TEXT(MOD(TIMEVALUE(K5)+27/1440,1),"HH:MM")</f>
        <v/>
      </c>
      <c r="L17" s="15">
        <f>TEXT(MOD(TIMEVALUE(L5)+27/1440,1),"HH:MM")</f>
        <v/>
      </c>
      <c r="M17" s="15">
        <f>TEXT(MOD(TIMEVALUE(M5)+27/1440,1),"HH:MM")</f>
        <v/>
      </c>
      <c r="N17" s="15">
        <f>TEXT(MOD(TIMEVALUE(N5)+27/1440,1),"HH:MM")</f>
        <v/>
      </c>
      <c r="O17" s="15">
        <f>TEXT(MOD(TIMEVALUE(O5)+27/1440,1),"HH:MM")</f>
        <v/>
      </c>
      <c r="P17" s="15">
        <f>TEXT(MOD(TIMEVALUE(P5)+27/1440,1),"HH:MM")</f>
        <v/>
      </c>
      <c r="Q17" s="15">
        <f>TEXT(MOD(TIMEVALUE(Q5)+27/1440,1),"HH:MM")</f>
        <v/>
      </c>
      <c r="R17" s="15">
        <f>TEXT(MOD(TIMEVALUE(R5)+27/1440,1),"HH:MM")</f>
        <v/>
      </c>
      <c r="S17" s="15">
        <f>TEXT(MOD(TIMEVALUE(S5)+27/1440,1),"HH:MM")</f>
        <v/>
      </c>
      <c r="T17" s="15">
        <f>TEXT(MOD(TIMEVALUE(T5)+27/1440,1),"HH:MM")</f>
        <v/>
      </c>
      <c r="U17" s="15">
        <f>TEXT(MOD(TIMEVALUE(U5)+27/1440,1),"HH:MM")</f>
        <v/>
      </c>
      <c r="V17" s="15">
        <f>TEXT(MOD(TIMEVALUE(V5)+27/1440,1),"HH:MM")</f>
        <v/>
      </c>
      <c r="W17" s="15">
        <f>TEXT(MOD(TIMEVALUE(W5)+27/1440,1),"HH:MM")</f>
        <v/>
      </c>
      <c r="X17" s="15">
        <f>TEXT(MOD(TIMEVALUE(X5)+27/1440,1),"HH:MM")</f>
        <v/>
      </c>
      <c r="Y17" s="15">
        <f>TEXT(MOD(TIMEVALUE(Y5)+27/1440,1),"HH:MM")</f>
        <v/>
      </c>
      <c r="Z17" s="15">
        <f>TEXT(MOD(TIMEVALUE(Z5)+27/1440,1),"HH:MM")</f>
        <v/>
      </c>
      <c r="AA17" s="15">
        <f>TEXT(MOD(TIMEVALUE(AA5)+27/1440,1),"HH:MM")</f>
        <v/>
      </c>
      <c r="AB17" s="15">
        <f>TEXT(MOD(TIMEVALUE(AB5)+27/1440,1),"HH:MM")</f>
        <v/>
      </c>
      <c r="AC17" s="15">
        <f>TEXT(MOD(TIMEVALUE(AC5)+27/1440,1),"HH:MM")</f>
        <v/>
      </c>
      <c r="AD17" s="15">
        <f>TEXT(MOD(TIMEVALUE(AD5)+27/1440,1),"HH:MM")</f>
        <v/>
      </c>
      <c r="AE17" s="15">
        <f>TEXT(MOD(TIMEVALUE(AE5)+27/1440,1),"HH:MM")</f>
        <v/>
      </c>
      <c r="AF17" s="15">
        <f>TEXT(MOD(TIMEVALUE(AF5)+27/1440,1),"HH:MM")</f>
        <v/>
      </c>
      <c r="AG17" s="15">
        <f>TEXT(MOD(TIMEVALUE(AG5)+27/1440,1),"HH:MM")</f>
        <v/>
      </c>
      <c r="AH17" s="15">
        <f>TEXT(MOD(TIMEVALUE(AH5)+27/1440,1),"HH:MM")</f>
        <v/>
      </c>
      <c r="AI17" s="15">
        <f>TEXT(MOD(TIMEVALUE(AI5)+27/1440,1),"HH:MM")</f>
        <v/>
      </c>
      <c r="AJ17" s="15">
        <f>TEXT(MOD(TIMEVALUE(AJ5)+27/1440,1),"HH:MM")</f>
        <v/>
      </c>
      <c r="AK17" s="15">
        <f>TEXT(MOD(TIMEVALUE(AK5)+27/1440,1),"HH:MM")</f>
        <v/>
      </c>
      <c r="AL17" s="15">
        <f>TEXT(MOD(TIMEVALUE(AL5)+27/1440,1),"HH:MM")</f>
        <v/>
      </c>
      <c r="AM17" s="15">
        <f>TEXT(MOD(TIMEVALUE(AM5)+27/1440,1),"HH:MM")</f>
        <v/>
      </c>
      <c r="AN17" s="15">
        <f>TEXT(MOD(TIMEVALUE(AN5)+27/1440,1),"HH:MM")</f>
        <v/>
      </c>
      <c r="AO17" s="15">
        <f>TEXT(MOD(TIMEVALUE(AO5)+27/1440,1),"HH:MM")</f>
        <v/>
      </c>
      <c r="AP17" s="15">
        <f>TEXT(MOD(TIMEVALUE(AP5)+27/1440,1),"HH:MM")</f>
        <v/>
      </c>
      <c r="AQ17" s="15">
        <f>TEXT(MOD(TIMEVALUE(AQ5)+27/1440,1),"HH:MM")</f>
        <v/>
      </c>
      <c r="AR17" s="15">
        <f>TEXT(MOD(TIMEVALUE(AR5)+27/1440,1),"HH:MM")</f>
        <v/>
      </c>
      <c r="AS17" s="15">
        <f>TEXT(MOD(TIMEVALUE(AS5)+27/1440,1),"HH:MM")</f>
        <v/>
      </c>
      <c r="AT17" s="15">
        <f>TEXT(MOD(TIMEVALUE(AT5)+27/1440,1),"HH:MM")</f>
        <v/>
      </c>
      <c r="AU17" s="15">
        <f>TEXT(MOD(TIMEVALUE(AU5)+27/1440,1),"HH:MM")</f>
        <v/>
      </c>
      <c r="AV17" s="15">
        <f>TEXT(MOD(TIMEVALUE(AV5)+27/1440,1),"HH:MM")</f>
        <v/>
      </c>
      <c r="AW17" s="15">
        <f>TEXT(MOD(TIMEVALUE(AW5)+27/1440,1),"HH:MM")</f>
        <v/>
      </c>
      <c r="AX17" s="15">
        <f>TEXT(MOD(TIMEVALUE(AX5)+27/1440,1),"HH:MM")</f>
        <v/>
      </c>
      <c r="AY17" s="15">
        <f>TEXT(MOD(TIMEVALUE(AY5)+27/1440,1),"HH:MM")</f>
        <v/>
      </c>
      <c r="AZ17" s="15">
        <f>TEXT(MOD(TIMEVALUE(AZ5)+27/1440,1),"HH:MM")</f>
        <v/>
      </c>
      <c r="BA17" s="15">
        <f>TEXT(MOD(TIMEVALUE(BA5)+27/1440,1),"HH:MM")</f>
        <v/>
      </c>
      <c r="BB17" s="15">
        <f>TEXT(MOD(TIMEVALUE(BB5)+27/1440,1),"HH:MM")</f>
        <v/>
      </c>
      <c r="BC17" s="15">
        <f>TEXT(MOD(TIMEVALUE(BC5)+27/1440,1),"HH:MM")</f>
        <v/>
      </c>
      <c r="BD17" s="15">
        <f>TEXT(MOD(TIMEVALUE(BD5)+27/1440,1),"HH:MM")</f>
        <v/>
      </c>
      <c r="BE17" s="15">
        <f>TEXT(MOD(TIMEVALUE(BE5)+27/1440,1),"HH:MM")</f>
        <v/>
      </c>
      <c r="BF17" s="15">
        <f>TEXT(MOD(TIMEVALUE(BF5)+27/1440,1),"HH:MM")</f>
        <v/>
      </c>
      <c r="BG17" s="15">
        <f>TEXT(MOD(TIMEVALUE(BG5)+27/1440,1),"HH:MM")</f>
        <v/>
      </c>
      <c r="BH17" s="15">
        <f>TEXT(MOD(TIMEVALUE(BH5)+27/1440,1),"HH:MM")</f>
        <v/>
      </c>
      <c r="BI17" s="15">
        <f>TEXT(MOD(TIMEVALUE(BI5)+27/1440,1),"HH:MM")</f>
        <v/>
      </c>
      <c r="BJ17" s="15">
        <f>TEXT(MOD(TIMEVALUE(BJ5)+27/1440,1),"HH:MM")</f>
        <v/>
      </c>
      <c r="BK17" s="15">
        <f>TEXT(MOD(TIMEVALUE(BK5)+27/1440,1),"HH:MM")</f>
        <v/>
      </c>
      <c r="BL17" s="15">
        <f>TEXT(MOD(TIMEVALUE(BL5)+27/1440,1),"HH:MM")</f>
        <v/>
      </c>
      <c r="BM17" s="15">
        <f>TEXT(MOD(TIMEVALUE(BM5)+27/1440,1),"HH:MM")</f>
        <v/>
      </c>
      <c r="BN17" s="15">
        <f>TEXT(MOD(TIMEVALUE(BN5)+27/1440,1),"HH:MM")</f>
        <v/>
      </c>
      <c r="BO17" s="15">
        <f>TEXT(MOD(TIMEVALUE(BO5)+27/1440,1),"HH:MM")</f>
        <v/>
      </c>
      <c r="BP17" s="15">
        <f>TEXT(MOD(TIMEVALUE(BP5)+27/1440,1),"HH:MM")</f>
        <v/>
      </c>
      <c r="BQ17" s="15">
        <f>TEXT(MOD(TIMEVALUE(BQ5)+27/1440,1),"HH:MM")</f>
        <v/>
      </c>
      <c r="BR17" s="15">
        <f>TEXT(MOD(TIMEVALUE(BR5)+27/1440,1),"HH:MM")</f>
        <v/>
      </c>
      <c r="BS17" s="15">
        <f>TEXT(MOD(TIMEVALUE(BS5)+27/1440,1),"HH:MM")</f>
        <v/>
      </c>
      <c r="BT17" s="15">
        <f>TEXT(MOD(TIMEVALUE(BT5)+27/1440,1),"HH:MM")</f>
        <v/>
      </c>
      <c r="BU17" s="15">
        <f>TEXT(MOD(TIMEVALUE(BU5)+27/1440,1),"HH:MM")</f>
        <v/>
      </c>
      <c r="BV17" s="15">
        <f>TEXT(MOD(TIMEVALUE(BV5)+27/1440,1),"HH:MM")</f>
        <v/>
      </c>
      <c r="BW17" s="15">
        <f>TEXT(MOD(TIMEVALUE(BW5)+27/1440,1),"HH:MM")</f>
        <v/>
      </c>
      <c r="BX17" s="15">
        <f>TEXT(MOD(TIMEVALUE(BX5)+27/1440,1),"HH:MM")</f>
        <v/>
      </c>
      <c r="BY17" s="15">
        <f>TEXT(MOD(TIMEVALUE(BY5)+27/1440,1),"HH:MM")</f>
        <v/>
      </c>
      <c r="BZ17" s="15">
        <f>TEXT(MOD(TIMEVALUE(BZ5)+27/1440,1),"HH:MM")</f>
        <v/>
      </c>
      <c r="CA17" s="15">
        <f>TEXT(MOD(TIMEVALUE(CA5)+27/1440,1),"HH:MM")</f>
        <v/>
      </c>
      <c r="CB17" s="15">
        <f>TEXT(MOD(TIMEVALUE(CB5)+27/1440,1),"HH:MM")</f>
        <v/>
      </c>
      <c r="CC17" s="15">
        <f>TEXT(MOD(TIMEVALUE(CC5)+27/1440,1),"HH:MM")</f>
        <v/>
      </c>
      <c r="CD17" s="15">
        <f>TEXT(MOD(TIMEVALUE(CD5)+27/1440,1),"HH:MM")</f>
        <v/>
      </c>
      <c r="CE17" s="15">
        <f>TEXT(MOD(TIMEVALUE(CE5)+27/1440,1),"HH:MM")</f>
        <v/>
      </c>
      <c r="CF17" s="15">
        <f>TEXT(MOD(TIMEVALUE(CF5)+27/1440,1),"HH:MM")</f>
        <v/>
      </c>
      <c r="CG17" s="15">
        <f>TEXT(MOD(TIMEVALUE(CG5)+27/1440,1),"HH:MM")</f>
        <v/>
      </c>
      <c r="CH17" s="15">
        <f>TEXT(MOD(TIMEVALUE(CH5)+27/1440,1),"HH:MM")</f>
        <v/>
      </c>
      <c r="CI17" s="15">
        <f>TEXT(MOD(TIMEVALUE(CI5)+27/1440,1),"HH:MM")</f>
        <v/>
      </c>
      <c r="CJ17" s="15">
        <f>TEXT(MOD(TIMEVALUE(CJ5)+27/1440,1),"HH:MM")</f>
        <v/>
      </c>
      <c r="CK17" s="15">
        <f>TEXT(MOD(TIMEVALUE(CK5)+27/1440,1),"HH:MM")</f>
        <v/>
      </c>
      <c r="CL17" s="15">
        <f>TEXT(MOD(TIMEVALUE(CL5)+27/1440,1),"HH:MM")</f>
        <v/>
      </c>
      <c r="CM17" s="15">
        <f>TEXT(MOD(TIMEVALUE(CM5)+27/1440,1),"HH:MM")</f>
        <v/>
      </c>
      <c r="CN17" s="15">
        <f>TEXT(MOD(TIMEVALUE(CN5)+27/1440,1),"HH:MM")</f>
        <v/>
      </c>
      <c r="CO17" s="15">
        <f>TEXT(MOD(TIMEVALUE(CO5)+27/1440,1),"HH:MM")</f>
        <v/>
      </c>
      <c r="CP17" s="15">
        <f>TEXT(MOD(TIMEVALUE(CP5)+27/1440,1),"HH:MM")</f>
        <v/>
      </c>
    </row>
    <row r="18" ht="16.5" customHeight="1" s="26">
      <c r="A18" s="12" t="inlineStr">
        <is>
          <t>Tropezón</t>
        </is>
      </c>
      <c r="B18" s="13">
        <f>TEXT(MOD(TIMEVALUE(B5)+29/1440,1),"HH:MM")</f>
        <v/>
      </c>
      <c r="C18" s="13">
        <f>TEXT(MOD(TIMEVALUE(C5)+29/1440,1),"HH:MM")</f>
        <v/>
      </c>
      <c r="D18" s="13">
        <f>TEXT(MOD(TIMEVALUE(D5)+29/1440,1),"HH:MM")</f>
        <v/>
      </c>
      <c r="E18" s="13">
        <f>TEXT(MOD(TIMEVALUE(E5)+29/1440,1),"HH:MM")</f>
        <v/>
      </c>
      <c r="F18" s="13">
        <f>TEXT(MOD(TIMEVALUE(F5)+29/1440,1),"HH:MM")</f>
        <v/>
      </c>
      <c r="G18" s="13">
        <f>TEXT(MOD(TIMEVALUE(G5)+29/1440,1),"HH:MM")</f>
        <v/>
      </c>
      <c r="H18" s="13">
        <f>TEXT(MOD(TIMEVALUE(H5)+29/1440,1),"HH:MM")</f>
        <v/>
      </c>
      <c r="I18" s="13">
        <f>TEXT(MOD(TIMEVALUE(I5)+29/1440,1),"HH:MM")</f>
        <v/>
      </c>
      <c r="J18" s="13">
        <f>TEXT(MOD(TIMEVALUE(J5)+29/1440,1),"HH:MM")</f>
        <v/>
      </c>
      <c r="K18" s="13">
        <f>TEXT(MOD(TIMEVALUE(K5)+29/1440,1),"HH:MM")</f>
        <v/>
      </c>
      <c r="L18" s="13">
        <f>TEXT(MOD(TIMEVALUE(L5)+29/1440,1),"HH:MM")</f>
        <v/>
      </c>
      <c r="M18" s="13">
        <f>TEXT(MOD(TIMEVALUE(M5)+29/1440,1),"HH:MM")</f>
        <v/>
      </c>
      <c r="N18" s="13">
        <f>TEXT(MOD(TIMEVALUE(N5)+29/1440,1),"HH:MM")</f>
        <v/>
      </c>
      <c r="O18" s="13">
        <f>TEXT(MOD(TIMEVALUE(O5)+29/1440,1),"HH:MM")</f>
        <v/>
      </c>
      <c r="P18" s="13">
        <f>TEXT(MOD(TIMEVALUE(P5)+29/1440,1),"HH:MM")</f>
        <v/>
      </c>
      <c r="Q18" s="13">
        <f>TEXT(MOD(TIMEVALUE(Q5)+29/1440,1),"HH:MM")</f>
        <v/>
      </c>
      <c r="R18" s="13">
        <f>TEXT(MOD(TIMEVALUE(R5)+29/1440,1),"HH:MM")</f>
        <v/>
      </c>
      <c r="S18" s="13">
        <f>TEXT(MOD(TIMEVALUE(S5)+29/1440,1),"HH:MM")</f>
        <v/>
      </c>
      <c r="T18" s="13">
        <f>TEXT(MOD(TIMEVALUE(T5)+29/1440,1),"HH:MM")</f>
        <v/>
      </c>
      <c r="U18" s="13">
        <f>TEXT(MOD(TIMEVALUE(U5)+29/1440,1),"HH:MM")</f>
        <v/>
      </c>
      <c r="V18" s="13">
        <f>TEXT(MOD(TIMEVALUE(V5)+29/1440,1),"HH:MM")</f>
        <v/>
      </c>
      <c r="W18" s="13">
        <f>TEXT(MOD(TIMEVALUE(W5)+29/1440,1),"HH:MM")</f>
        <v/>
      </c>
      <c r="X18" s="13">
        <f>TEXT(MOD(TIMEVALUE(X5)+29/1440,1),"HH:MM")</f>
        <v/>
      </c>
      <c r="Y18" s="13">
        <f>TEXT(MOD(TIMEVALUE(Y5)+29/1440,1),"HH:MM")</f>
        <v/>
      </c>
      <c r="Z18" s="13">
        <f>TEXT(MOD(TIMEVALUE(Z5)+29/1440,1),"HH:MM")</f>
        <v/>
      </c>
      <c r="AA18" s="13">
        <f>TEXT(MOD(TIMEVALUE(AA5)+29/1440,1),"HH:MM")</f>
        <v/>
      </c>
      <c r="AB18" s="13">
        <f>TEXT(MOD(TIMEVALUE(AB5)+29/1440,1),"HH:MM")</f>
        <v/>
      </c>
      <c r="AC18" s="13">
        <f>TEXT(MOD(TIMEVALUE(AC5)+29/1440,1),"HH:MM")</f>
        <v/>
      </c>
      <c r="AD18" s="13">
        <f>TEXT(MOD(TIMEVALUE(AD5)+29/1440,1),"HH:MM")</f>
        <v/>
      </c>
      <c r="AE18" s="13">
        <f>TEXT(MOD(TIMEVALUE(AE5)+29/1440,1),"HH:MM")</f>
        <v/>
      </c>
      <c r="AF18" s="13">
        <f>TEXT(MOD(TIMEVALUE(AF5)+29/1440,1),"HH:MM")</f>
        <v/>
      </c>
      <c r="AG18" s="13">
        <f>TEXT(MOD(TIMEVALUE(AG5)+29/1440,1),"HH:MM")</f>
        <v/>
      </c>
      <c r="AH18" s="13">
        <f>TEXT(MOD(TIMEVALUE(AH5)+29/1440,1),"HH:MM")</f>
        <v/>
      </c>
      <c r="AI18" s="13">
        <f>TEXT(MOD(TIMEVALUE(AI5)+29/1440,1),"HH:MM")</f>
        <v/>
      </c>
      <c r="AJ18" s="13">
        <f>TEXT(MOD(TIMEVALUE(AJ5)+29/1440,1),"HH:MM")</f>
        <v/>
      </c>
      <c r="AK18" s="13">
        <f>TEXT(MOD(TIMEVALUE(AK5)+29/1440,1),"HH:MM")</f>
        <v/>
      </c>
      <c r="AL18" s="13">
        <f>TEXT(MOD(TIMEVALUE(AL5)+29/1440,1),"HH:MM")</f>
        <v/>
      </c>
      <c r="AM18" s="13">
        <f>TEXT(MOD(TIMEVALUE(AM5)+29/1440,1),"HH:MM")</f>
        <v/>
      </c>
      <c r="AN18" s="13">
        <f>TEXT(MOD(TIMEVALUE(AN5)+29/1440,1),"HH:MM")</f>
        <v/>
      </c>
      <c r="AO18" s="13">
        <f>TEXT(MOD(TIMEVALUE(AO5)+29/1440,1),"HH:MM")</f>
        <v/>
      </c>
      <c r="AP18" s="13">
        <f>TEXT(MOD(TIMEVALUE(AP5)+29/1440,1),"HH:MM")</f>
        <v/>
      </c>
      <c r="AQ18" s="13">
        <f>TEXT(MOD(TIMEVALUE(AQ5)+29/1440,1),"HH:MM")</f>
        <v/>
      </c>
      <c r="AR18" s="13">
        <f>TEXT(MOD(TIMEVALUE(AR5)+29/1440,1),"HH:MM")</f>
        <v/>
      </c>
      <c r="AS18" s="13">
        <f>TEXT(MOD(TIMEVALUE(AS5)+29/1440,1),"HH:MM")</f>
        <v/>
      </c>
      <c r="AT18" s="13">
        <f>TEXT(MOD(TIMEVALUE(AT5)+29/1440,1),"HH:MM")</f>
        <v/>
      </c>
      <c r="AU18" s="13">
        <f>TEXT(MOD(TIMEVALUE(AU5)+29/1440,1),"HH:MM")</f>
        <v/>
      </c>
      <c r="AV18" s="13">
        <f>TEXT(MOD(TIMEVALUE(AV5)+29/1440,1),"HH:MM")</f>
        <v/>
      </c>
      <c r="AW18" s="13">
        <f>TEXT(MOD(TIMEVALUE(AW5)+29/1440,1),"HH:MM")</f>
        <v/>
      </c>
      <c r="AX18" s="13">
        <f>TEXT(MOD(TIMEVALUE(AX5)+29/1440,1),"HH:MM")</f>
        <v/>
      </c>
      <c r="AY18" s="13">
        <f>TEXT(MOD(TIMEVALUE(AY5)+29/1440,1),"HH:MM")</f>
        <v/>
      </c>
      <c r="AZ18" s="13">
        <f>TEXT(MOD(TIMEVALUE(AZ5)+29/1440,1),"HH:MM")</f>
        <v/>
      </c>
      <c r="BA18" s="13">
        <f>TEXT(MOD(TIMEVALUE(BA5)+29/1440,1),"HH:MM")</f>
        <v/>
      </c>
      <c r="BB18" s="13">
        <f>TEXT(MOD(TIMEVALUE(BB5)+29/1440,1),"HH:MM")</f>
        <v/>
      </c>
      <c r="BC18" s="13">
        <f>TEXT(MOD(TIMEVALUE(BC5)+29/1440,1),"HH:MM")</f>
        <v/>
      </c>
      <c r="BD18" s="13">
        <f>TEXT(MOD(TIMEVALUE(BD5)+29/1440,1),"HH:MM")</f>
        <v/>
      </c>
      <c r="BE18" s="13">
        <f>TEXT(MOD(TIMEVALUE(BE5)+29/1440,1),"HH:MM")</f>
        <v/>
      </c>
      <c r="BF18" s="13">
        <f>TEXT(MOD(TIMEVALUE(BF5)+29/1440,1),"HH:MM")</f>
        <v/>
      </c>
      <c r="BG18" s="13">
        <f>TEXT(MOD(TIMEVALUE(BG5)+29/1440,1),"HH:MM")</f>
        <v/>
      </c>
      <c r="BH18" s="13">
        <f>TEXT(MOD(TIMEVALUE(BH5)+29/1440,1),"HH:MM")</f>
        <v/>
      </c>
      <c r="BI18" s="13">
        <f>TEXT(MOD(TIMEVALUE(BI5)+29/1440,1),"HH:MM")</f>
        <v/>
      </c>
      <c r="BJ18" s="13">
        <f>TEXT(MOD(TIMEVALUE(BJ5)+29/1440,1),"HH:MM")</f>
        <v/>
      </c>
      <c r="BK18" s="13">
        <f>TEXT(MOD(TIMEVALUE(BK5)+29/1440,1),"HH:MM")</f>
        <v/>
      </c>
      <c r="BL18" s="13">
        <f>TEXT(MOD(TIMEVALUE(BL5)+29/1440,1),"HH:MM")</f>
        <v/>
      </c>
      <c r="BM18" s="13">
        <f>TEXT(MOD(TIMEVALUE(BM5)+29/1440,1),"HH:MM")</f>
        <v/>
      </c>
      <c r="BN18" s="13">
        <f>TEXT(MOD(TIMEVALUE(BN5)+29/1440,1),"HH:MM")</f>
        <v/>
      </c>
      <c r="BO18" s="13">
        <f>TEXT(MOD(TIMEVALUE(BO5)+29/1440,1),"HH:MM")</f>
        <v/>
      </c>
      <c r="BP18" s="13">
        <f>TEXT(MOD(TIMEVALUE(BP5)+29/1440,1),"HH:MM")</f>
        <v/>
      </c>
      <c r="BQ18" s="13">
        <f>TEXT(MOD(TIMEVALUE(BQ5)+29/1440,1),"HH:MM")</f>
        <v/>
      </c>
      <c r="BR18" s="13">
        <f>TEXT(MOD(TIMEVALUE(BR5)+29/1440,1),"HH:MM")</f>
        <v/>
      </c>
      <c r="BS18" s="13">
        <f>TEXT(MOD(TIMEVALUE(BS5)+29/1440,1),"HH:MM")</f>
        <v/>
      </c>
      <c r="BT18" s="13">
        <f>TEXT(MOD(TIMEVALUE(BT5)+29/1440,1),"HH:MM")</f>
        <v/>
      </c>
      <c r="BU18" s="13">
        <f>TEXT(MOD(TIMEVALUE(BU5)+29/1440,1),"HH:MM")</f>
        <v/>
      </c>
      <c r="BV18" s="13">
        <f>TEXT(MOD(TIMEVALUE(BV5)+29/1440,1),"HH:MM")</f>
        <v/>
      </c>
      <c r="BW18" s="13">
        <f>TEXT(MOD(TIMEVALUE(BW5)+29/1440,1),"HH:MM")</f>
        <v/>
      </c>
      <c r="BX18" s="13">
        <f>TEXT(MOD(TIMEVALUE(BX5)+29/1440,1),"HH:MM")</f>
        <v/>
      </c>
      <c r="BY18" s="13">
        <f>TEXT(MOD(TIMEVALUE(BY5)+29/1440,1),"HH:MM")</f>
        <v/>
      </c>
      <c r="BZ18" s="13">
        <f>TEXT(MOD(TIMEVALUE(BZ5)+29/1440,1),"HH:MM")</f>
        <v/>
      </c>
      <c r="CA18" s="13">
        <f>TEXT(MOD(TIMEVALUE(CA5)+29/1440,1),"HH:MM")</f>
        <v/>
      </c>
      <c r="CB18" s="13">
        <f>TEXT(MOD(TIMEVALUE(CB5)+29/1440,1),"HH:MM")</f>
        <v/>
      </c>
      <c r="CC18" s="13">
        <f>TEXT(MOD(TIMEVALUE(CC5)+29/1440,1),"HH:MM")</f>
        <v/>
      </c>
      <c r="CD18" s="13">
        <f>TEXT(MOD(TIMEVALUE(CD5)+29/1440,1),"HH:MM")</f>
        <v/>
      </c>
      <c r="CE18" s="13">
        <f>TEXT(MOD(TIMEVALUE(CE5)+29/1440,1),"HH:MM")</f>
        <v/>
      </c>
      <c r="CF18" s="13">
        <f>TEXT(MOD(TIMEVALUE(CF5)+29/1440,1),"HH:MM")</f>
        <v/>
      </c>
      <c r="CG18" s="13">
        <f>TEXT(MOD(TIMEVALUE(CG5)+29/1440,1),"HH:MM")</f>
        <v/>
      </c>
      <c r="CH18" s="13">
        <f>TEXT(MOD(TIMEVALUE(CH5)+29/1440,1),"HH:MM")</f>
        <v/>
      </c>
      <c r="CI18" s="13">
        <f>TEXT(MOD(TIMEVALUE(CI5)+29/1440,1),"HH:MM")</f>
        <v/>
      </c>
      <c r="CJ18" s="13">
        <f>TEXT(MOD(TIMEVALUE(CJ5)+29/1440,1),"HH:MM")</f>
        <v/>
      </c>
      <c r="CK18" s="13">
        <f>TEXT(MOD(TIMEVALUE(CK5)+29/1440,1),"HH:MM")</f>
        <v/>
      </c>
      <c r="CL18" s="13">
        <f>TEXT(MOD(TIMEVALUE(CL5)+29/1440,1),"HH:MM")</f>
        <v/>
      </c>
      <c r="CM18" s="13">
        <f>TEXT(MOD(TIMEVALUE(CM5)+29/1440,1),"HH:MM")</f>
        <v/>
      </c>
      <c r="CN18" s="13">
        <f>TEXT(MOD(TIMEVALUE(CN5)+29/1440,1),"HH:MM")</f>
        <v/>
      </c>
      <c r="CO18" s="13">
        <f>TEXT(MOD(TIMEVALUE(CO5)+29/1440,1),"HH:MM")</f>
        <v/>
      </c>
      <c r="CP18" s="13">
        <f>TEXT(MOD(TIMEVALUE(CP5)+29/1440,1),"HH:MM")</f>
        <v/>
      </c>
    </row>
    <row r="19" ht="16.5" customHeight="1" s="26">
      <c r="A19" s="14" t="inlineStr">
        <is>
          <t>Lourdes</t>
        </is>
      </c>
      <c r="B19" s="15">
        <f>TEXT(MOD(TIMEVALUE(B5)+31/1440,1),"HH:MM")</f>
        <v/>
      </c>
      <c r="C19" s="15">
        <f>TEXT(MOD(TIMEVALUE(C5)+31/1440,1),"HH:MM")</f>
        <v/>
      </c>
      <c r="D19" s="15">
        <f>TEXT(MOD(TIMEVALUE(D5)+31/1440,1),"HH:MM")</f>
        <v/>
      </c>
      <c r="E19" s="15">
        <f>TEXT(MOD(TIMEVALUE(E5)+31/1440,1),"HH:MM")</f>
        <v/>
      </c>
      <c r="F19" s="15">
        <f>TEXT(MOD(TIMEVALUE(F5)+31/1440,1),"HH:MM")</f>
        <v/>
      </c>
      <c r="G19" s="15">
        <f>TEXT(MOD(TIMEVALUE(G5)+31/1440,1),"HH:MM")</f>
        <v/>
      </c>
      <c r="H19" s="15">
        <f>TEXT(MOD(TIMEVALUE(H5)+31/1440,1),"HH:MM")</f>
        <v/>
      </c>
      <c r="I19" s="15">
        <f>TEXT(MOD(TIMEVALUE(I5)+31/1440,1),"HH:MM")</f>
        <v/>
      </c>
      <c r="J19" s="15">
        <f>TEXT(MOD(TIMEVALUE(J5)+31/1440,1),"HH:MM")</f>
        <v/>
      </c>
      <c r="K19" s="15">
        <f>TEXT(MOD(TIMEVALUE(K5)+31/1440,1),"HH:MM")</f>
        <v/>
      </c>
      <c r="L19" s="15">
        <f>TEXT(MOD(TIMEVALUE(L5)+31/1440,1),"HH:MM")</f>
        <v/>
      </c>
      <c r="M19" s="15">
        <f>TEXT(MOD(TIMEVALUE(M5)+31/1440,1),"HH:MM")</f>
        <v/>
      </c>
      <c r="N19" s="15">
        <f>TEXT(MOD(TIMEVALUE(N5)+31/1440,1),"HH:MM")</f>
        <v/>
      </c>
      <c r="O19" s="15">
        <f>TEXT(MOD(TIMEVALUE(O5)+31/1440,1),"HH:MM")</f>
        <v/>
      </c>
      <c r="P19" s="15">
        <f>TEXT(MOD(TIMEVALUE(P5)+31/1440,1),"HH:MM")</f>
        <v/>
      </c>
      <c r="Q19" s="15">
        <f>TEXT(MOD(TIMEVALUE(Q5)+31/1440,1),"HH:MM")</f>
        <v/>
      </c>
      <c r="R19" s="15">
        <f>TEXT(MOD(TIMEVALUE(R5)+31/1440,1),"HH:MM")</f>
        <v/>
      </c>
      <c r="S19" s="15">
        <f>TEXT(MOD(TIMEVALUE(S5)+31/1440,1),"HH:MM")</f>
        <v/>
      </c>
      <c r="T19" s="15">
        <f>TEXT(MOD(TIMEVALUE(T5)+31/1440,1),"HH:MM")</f>
        <v/>
      </c>
      <c r="U19" s="15">
        <f>TEXT(MOD(TIMEVALUE(U5)+31/1440,1),"HH:MM")</f>
        <v/>
      </c>
      <c r="V19" s="15">
        <f>TEXT(MOD(TIMEVALUE(V5)+31/1440,1),"HH:MM")</f>
        <v/>
      </c>
      <c r="W19" s="15">
        <f>TEXT(MOD(TIMEVALUE(W5)+31/1440,1),"HH:MM")</f>
        <v/>
      </c>
      <c r="X19" s="15">
        <f>TEXT(MOD(TIMEVALUE(X5)+31/1440,1),"HH:MM")</f>
        <v/>
      </c>
      <c r="Y19" s="15">
        <f>TEXT(MOD(TIMEVALUE(Y5)+31/1440,1),"HH:MM")</f>
        <v/>
      </c>
      <c r="Z19" s="15">
        <f>TEXT(MOD(TIMEVALUE(Z5)+31/1440,1),"HH:MM")</f>
        <v/>
      </c>
      <c r="AA19" s="15">
        <f>TEXT(MOD(TIMEVALUE(AA5)+31/1440,1),"HH:MM")</f>
        <v/>
      </c>
      <c r="AB19" s="15">
        <f>TEXT(MOD(TIMEVALUE(AB5)+31/1440,1),"HH:MM")</f>
        <v/>
      </c>
      <c r="AC19" s="15">
        <f>TEXT(MOD(TIMEVALUE(AC5)+31/1440,1),"HH:MM")</f>
        <v/>
      </c>
      <c r="AD19" s="15">
        <f>TEXT(MOD(TIMEVALUE(AD5)+31/1440,1),"HH:MM")</f>
        <v/>
      </c>
      <c r="AE19" s="15">
        <f>TEXT(MOD(TIMEVALUE(AE5)+31/1440,1),"HH:MM")</f>
        <v/>
      </c>
      <c r="AF19" s="15">
        <f>TEXT(MOD(TIMEVALUE(AF5)+31/1440,1),"HH:MM")</f>
        <v/>
      </c>
      <c r="AG19" s="15">
        <f>TEXT(MOD(TIMEVALUE(AG5)+31/1440,1),"HH:MM")</f>
        <v/>
      </c>
      <c r="AH19" s="15">
        <f>TEXT(MOD(TIMEVALUE(AH5)+31/1440,1),"HH:MM")</f>
        <v/>
      </c>
      <c r="AI19" s="15">
        <f>TEXT(MOD(TIMEVALUE(AI5)+31/1440,1),"HH:MM")</f>
        <v/>
      </c>
      <c r="AJ19" s="15">
        <f>TEXT(MOD(TIMEVALUE(AJ5)+31/1440,1),"HH:MM")</f>
        <v/>
      </c>
      <c r="AK19" s="15">
        <f>TEXT(MOD(TIMEVALUE(AK5)+31/1440,1),"HH:MM")</f>
        <v/>
      </c>
      <c r="AL19" s="15">
        <f>TEXT(MOD(TIMEVALUE(AL5)+31/1440,1),"HH:MM")</f>
        <v/>
      </c>
      <c r="AM19" s="15">
        <f>TEXT(MOD(TIMEVALUE(AM5)+31/1440,1),"HH:MM")</f>
        <v/>
      </c>
      <c r="AN19" s="15">
        <f>TEXT(MOD(TIMEVALUE(AN5)+31/1440,1),"HH:MM")</f>
        <v/>
      </c>
      <c r="AO19" s="15">
        <f>TEXT(MOD(TIMEVALUE(AO5)+31/1440,1),"HH:MM")</f>
        <v/>
      </c>
      <c r="AP19" s="15">
        <f>TEXT(MOD(TIMEVALUE(AP5)+31/1440,1),"HH:MM")</f>
        <v/>
      </c>
      <c r="AQ19" s="15">
        <f>TEXT(MOD(TIMEVALUE(AQ5)+31/1440,1),"HH:MM")</f>
        <v/>
      </c>
      <c r="AR19" s="15">
        <f>TEXT(MOD(TIMEVALUE(AR5)+31/1440,1),"HH:MM")</f>
        <v/>
      </c>
      <c r="AS19" s="15">
        <f>TEXT(MOD(TIMEVALUE(AS5)+31/1440,1),"HH:MM")</f>
        <v/>
      </c>
      <c r="AT19" s="15">
        <f>TEXT(MOD(TIMEVALUE(AT5)+31/1440,1),"HH:MM")</f>
        <v/>
      </c>
      <c r="AU19" s="15">
        <f>TEXT(MOD(TIMEVALUE(AU5)+31/1440,1),"HH:MM")</f>
        <v/>
      </c>
      <c r="AV19" s="15">
        <f>TEXT(MOD(TIMEVALUE(AV5)+31/1440,1),"HH:MM")</f>
        <v/>
      </c>
      <c r="AW19" s="15">
        <f>TEXT(MOD(TIMEVALUE(AW5)+31/1440,1),"HH:MM")</f>
        <v/>
      </c>
      <c r="AX19" s="15">
        <f>TEXT(MOD(TIMEVALUE(AX5)+31/1440,1),"HH:MM")</f>
        <v/>
      </c>
      <c r="AY19" s="15">
        <f>TEXT(MOD(TIMEVALUE(AY5)+31/1440,1),"HH:MM")</f>
        <v/>
      </c>
      <c r="AZ19" s="15">
        <f>TEXT(MOD(TIMEVALUE(AZ5)+31/1440,1),"HH:MM")</f>
        <v/>
      </c>
      <c r="BA19" s="15">
        <f>TEXT(MOD(TIMEVALUE(BA5)+31/1440,1),"HH:MM")</f>
        <v/>
      </c>
      <c r="BB19" s="15">
        <f>TEXT(MOD(TIMEVALUE(BB5)+31/1440,1),"HH:MM")</f>
        <v/>
      </c>
      <c r="BC19" s="15">
        <f>TEXT(MOD(TIMEVALUE(BC5)+31/1440,1),"HH:MM")</f>
        <v/>
      </c>
      <c r="BD19" s="15">
        <f>TEXT(MOD(TIMEVALUE(BD5)+31/1440,1),"HH:MM")</f>
        <v/>
      </c>
      <c r="BE19" s="15">
        <f>TEXT(MOD(TIMEVALUE(BE5)+31/1440,1),"HH:MM")</f>
        <v/>
      </c>
      <c r="BF19" s="15">
        <f>TEXT(MOD(TIMEVALUE(BF5)+31/1440,1),"HH:MM")</f>
        <v/>
      </c>
      <c r="BG19" s="15">
        <f>TEXT(MOD(TIMEVALUE(BG5)+31/1440,1),"HH:MM")</f>
        <v/>
      </c>
      <c r="BH19" s="15">
        <f>TEXT(MOD(TIMEVALUE(BH5)+31/1440,1),"HH:MM")</f>
        <v/>
      </c>
      <c r="BI19" s="15">
        <f>TEXT(MOD(TIMEVALUE(BI5)+31/1440,1),"HH:MM")</f>
        <v/>
      </c>
      <c r="BJ19" s="15">
        <f>TEXT(MOD(TIMEVALUE(BJ5)+31/1440,1),"HH:MM")</f>
        <v/>
      </c>
      <c r="BK19" s="15">
        <f>TEXT(MOD(TIMEVALUE(BK5)+31/1440,1),"HH:MM")</f>
        <v/>
      </c>
      <c r="BL19" s="15">
        <f>TEXT(MOD(TIMEVALUE(BL5)+31/1440,1),"HH:MM")</f>
        <v/>
      </c>
      <c r="BM19" s="15">
        <f>TEXT(MOD(TIMEVALUE(BM5)+31/1440,1),"HH:MM")</f>
        <v/>
      </c>
      <c r="BN19" s="15">
        <f>TEXT(MOD(TIMEVALUE(BN5)+31/1440,1),"HH:MM")</f>
        <v/>
      </c>
      <c r="BO19" s="15">
        <f>TEXT(MOD(TIMEVALUE(BO5)+31/1440,1),"HH:MM")</f>
        <v/>
      </c>
      <c r="BP19" s="15">
        <f>TEXT(MOD(TIMEVALUE(BP5)+31/1440,1),"HH:MM")</f>
        <v/>
      </c>
      <c r="BQ19" s="15">
        <f>TEXT(MOD(TIMEVALUE(BQ5)+31/1440,1),"HH:MM")</f>
        <v/>
      </c>
      <c r="BR19" s="15">
        <f>TEXT(MOD(TIMEVALUE(BR5)+31/1440,1),"HH:MM")</f>
        <v/>
      </c>
      <c r="BS19" s="15">
        <f>TEXT(MOD(TIMEVALUE(BS5)+31/1440,1),"HH:MM")</f>
        <v/>
      </c>
      <c r="BT19" s="15">
        <f>TEXT(MOD(TIMEVALUE(BT5)+31/1440,1),"HH:MM")</f>
        <v/>
      </c>
      <c r="BU19" s="15">
        <f>TEXT(MOD(TIMEVALUE(BU5)+31/1440,1),"HH:MM")</f>
        <v/>
      </c>
      <c r="BV19" s="15">
        <f>TEXT(MOD(TIMEVALUE(BV5)+31/1440,1),"HH:MM")</f>
        <v/>
      </c>
      <c r="BW19" s="15">
        <f>TEXT(MOD(TIMEVALUE(BW5)+31/1440,1),"HH:MM")</f>
        <v/>
      </c>
      <c r="BX19" s="15">
        <f>TEXT(MOD(TIMEVALUE(BX5)+31/1440,1),"HH:MM")</f>
        <v/>
      </c>
      <c r="BY19" s="15">
        <f>TEXT(MOD(TIMEVALUE(BY5)+31/1440,1),"HH:MM")</f>
        <v/>
      </c>
      <c r="BZ19" s="15">
        <f>TEXT(MOD(TIMEVALUE(BZ5)+31/1440,1),"HH:MM")</f>
        <v/>
      </c>
      <c r="CA19" s="15">
        <f>TEXT(MOD(TIMEVALUE(CA5)+31/1440,1),"HH:MM")</f>
        <v/>
      </c>
      <c r="CB19" s="15">
        <f>TEXT(MOD(TIMEVALUE(CB5)+31/1440,1),"HH:MM")</f>
        <v/>
      </c>
      <c r="CC19" s="15">
        <f>TEXT(MOD(TIMEVALUE(CC5)+31/1440,1),"HH:MM")</f>
        <v/>
      </c>
      <c r="CD19" s="15">
        <f>TEXT(MOD(TIMEVALUE(CD5)+31/1440,1),"HH:MM")</f>
        <v/>
      </c>
      <c r="CE19" s="15">
        <f>TEXT(MOD(TIMEVALUE(CE5)+31/1440,1),"HH:MM")</f>
        <v/>
      </c>
      <c r="CF19" s="15">
        <f>TEXT(MOD(TIMEVALUE(CF5)+31/1440,1),"HH:MM")</f>
        <v/>
      </c>
      <c r="CG19" s="15">
        <f>TEXT(MOD(TIMEVALUE(CG5)+31/1440,1),"HH:MM")</f>
        <v/>
      </c>
      <c r="CH19" s="15">
        <f>TEXT(MOD(TIMEVALUE(CH5)+31/1440,1),"HH:MM")</f>
        <v/>
      </c>
      <c r="CI19" s="15">
        <f>TEXT(MOD(TIMEVALUE(CI5)+31/1440,1),"HH:MM")</f>
        <v/>
      </c>
      <c r="CJ19" s="15">
        <f>TEXT(MOD(TIMEVALUE(CJ5)+31/1440,1),"HH:MM")</f>
        <v/>
      </c>
      <c r="CK19" s="15">
        <f>TEXT(MOD(TIMEVALUE(CK5)+31/1440,1),"HH:MM")</f>
        <v/>
      </c>
      <c r="CL19" s="15">
        <f>TEXT(MOD(TIMEVALUE(CL5)+31/1440,1),"HH:MM")</f>
        <v/>
      </c>
      <c r="CM19" s="15">
        <f>TEXT(MOD(TIMEVALUE(CM5)+31/1440,1),"HH:MM")</f>
        <v/>
      </c>
      <c r="CN19" s="15">
        <f>TEXT(MOD(TIMEVALUE(CN5)+31/1440,1),"HH:MM")</f>
        <v/>
      </c>
      <c r="CO19" s="15">
        <f>TEXT(MOD(TIMEVALUE(CO5)+31/1440,1),"HH:MM")</f>
        <v/>
      </c>
      <c r="CP19" s="15">
        <f>TEXT(MOD(TIMEVALUE(CP5)+31/1440,1),"HH:MM")</f>
        <v/>
      </c>
    </row>
    <row r="20" ht="16.5" customHeight="1" s="26">
      <c r="A20" s="12" t="inlineStr">
        <is>
          <t>Fernández Moreno</t>
        </is>
      </c>
      <c r="B20" s="13">
        <f>TEXT(MOD(TIMEVALUE(B5)+33/1440,1),"HH:MM")</f>
        <v/>
      </c>
      <c r="C20" s="13">
        <f>TEXT(MOD(TIMEVALUE(C5)+33/1440,1),"HH:MM")</f>
        <v/>
      </c>
      <c r="D20" s="13">
        <f>TEXT(MOD(TIMEVALUE(D5)+33/1440,1),"HH:MM")</f>
        <v/>
      </c>
      <c r="E20" s="13">
        <f>TEXT(MOD(TIMEVALUE(E5)+33/1440,1),"HH:MM")</f>
        <v/>
      </c>
      <c r="F20" s="13">
        <f>TEXT(MOD(TIMEVALUE(F5)+33/1440,1),"HH:MM")</f>
        <v/>
      </c>
      <c r="G20" s="13">
        <f>TEXT(MOD(TIMEVALUE(G5)+33/1440,1),"HH:MM")</f>
        <v/>
      </c>
      <c r="H20" s="13">
        <f>TEXT(MOD(TIMEVALUE(H5)+33/1440,1),"HH:MM")</f>
        <v/>
      </c>
      <c r="I20" s="13">
        <f>TEXT(MOD(TIMEVALUE(I5)+33/1440,1),"HH:MM")</f>
        <v/>
      </c>
      <c r="J20" s="13">
        <f>TEXT(MOD(TIMEVALUE(J5)+33/1440,1),"HH:MM")</f>
        <v/>
      </c>
      <c r="K20" s="13">
        <f>TEXT(MOD(TIMEVALUE(K5)+33/1440,1),"HH:MM")</f>
        <v/>
      </c>
      <c r="L20" s="13">
        <f>TEXT(MOD(TIMEVALUE(L5)+33/1440,1),"HH:MM")</f>
        <v/>
      </c>
      <c r="M20" s="13">
        <f>TEXT(MOD(TIMEVALUE(M5)+33/1440,1),"HH:MM")</f>
        <v/>
      </c>
      <c r="N20" s="13">
        <f>TEXT(MOD(TIMEVALUE(N5)+33/1440,1),"HH:MM")</f>
        <v/>
      </c>
      <c r="O20" s="13">
        <f>TEXT(MOD(TIMEVALUE(O5)+33/1440,1),"HH:MM")</f>
        <v/>
      </c>
      <c r="P20" s="13">
        <f>TEXT(MOD(TIMEVALUE(P5)+33/1440,1),"HH:MM")</f>
        <v/>
      </c>
      <c r="Q20" s="13">
        <f>TEXT(MOD(TIMEVALUE(Q5)+33/1440,1),"HH:MM")</f>
        <v/>
      </c>
      <c r="R20" s="13">
        <f>TEXT(MOD(TIMEVALUE(R5)+33/1440,1),"HH:MM")</f>
        <v/>
      </c>
      <c r="S20" s="13">
        <f>TEXT(MOD(TIMEVALUE(S5)+33/1440,1),"HH:MM")</f>
        <v/>
      </c>
      <c r="T20" s="13">
        <f>TEXT(MOD(TIMEVALUE(T5)+33/1440,1),"HH:MM")</f>
        <v/>
      </c>
      <c r="U20" s="13">
        <f>TEXT(MOD(TIMEVALUE(U5)+33/1440,1),"HH:MM")</f>
        <v/>
      </c>
      <c r="V20" s="13">
        <f>TEXT(MOD(TIMEVALUE(V5)+33/1440,1),"HH:MM")</f>
        <v/>
      </c>
      <c r="W20" s="13">
        <f>TEXT(MOD(TIMEVALUE(W5)+33/1440,1),"HH:MM")</f>
        <v/>
      </c>
      <c r="X20" s="13">
        <f>TEXT(MOD(TIMEVALUE(X5)+33/1440,1),"HH:MM")</f>
        <v/>
      </c>
      <c r="Y20" s="13">
        <f>TEXT(MOD(TIMEVALUE(Y5)+33/1440,1),"HH:MM")</f>
        <v/>
      </c>
      <c r="Z20" s="13">
        <f>TEXT(MOD(TIMEVALUE(Z5)+33/1440,1),"HH:MM")</f>
        <v/>
      </c>
      <c r="AA20" s="13">
        <f>TEXT(MOD(TIMEVALUE(AA5)+33/1440,1),"HH:MM")</f>
        <v/>
      </c>
      <c r="AB20" s="13">
        <f>TEXT(MOD(TIMEVALUE(AB5)+33/1440,1),"HH:MM")</f>
        <v/>
      </c>
      <c r="AC20" s="13">
        <f>TEXT(MOD(TIMEVALUE(AC5)+33/1440,1),"HH:MM")</f>
        <v/>
      </c>
      <c r="AD20" s="13">
        <f>TEXT(MOD(TIMEVALUE(AD5)+33/1440,1),"HH:MM")</f>
        <v/>
      </c>
      <c r="AE20" s="13">
        <f>TEXT(MOD(TIMEVALUE(AE5)+33/1440,1),"HH:MM")</f>
        <v/>
      </c>
      <c r="AF20" s="13">
        <f>TEXT(MOD(TIMEVALUE(AF5)+33/1440,1),"HH:MM")</f>
        <v/>
      </c>
      <c r="AG20" s="13">
        <f>TEXT(MOD(TIMEVALUE(AG5)+33/1440,1),"HH:MM")</f>
        <v/>
      </c>
      <c r="AH20" s="13">
        <f>TEXT(MOD(TIMEVALUE(AH5)+33/1440,1),"HH:MM")</f>
        <v/>
      </c>
      <c r="AI20" s="13">
        <f>TEXT(MOD(TIMEVALUE(AI5)+33/1440,1),"HH:MM")</f>
        <v/>
      </c>
      <c r="AJ20" s="13">
        <f>TEXT(MOD(TIMEVALUE(AJ5)+33/1440,1),"HH:MM")</f>
        <v/>
      </c>
      <c r="AK20" s="13">
        <f>TEXT(MOD(TIMEVALUE(AK5)+33/1440,1),"HH:MM")</f>
        <v/>
      </c>
      <c r="AL20" s="13">
        <f>TEXT(MOD(TIMEVALUE(AL5)+33/1440,1),"HH:MM")</f>
        <v/>
      </c>
      <c r="AM20" s="13">
        <f>TEXT(MOD(TIMEVALUE(AM5)+33/1440,1),"HH:MM")</f>
        <v/>
      </c>
      <c r="AN20" s="13">
        <f>TEXT(MOD(TIMEVALUE(AN5)+33/1440,1),"HH:MM")</f>
        <v/>
      </c>
      <c r="AO20" s="13">
        <f>TEXT(MOD(TIMEVALUE(AO5)+33/1440,1),"HH:MM")</f>
        <v/>
      </c>
      <c r="AP20" s="13">
        <f>TEXT(MOD(TIMEVALUE(AP5)+33/1440,1),"HH:MM")</f>
        <v/>
      </c>
      <c r="AQ20" s="13">
        <f>TEXT(MOD(TIMEVALUE(AQ5)+33/1440,1),"HH:MM")</f>
        <v/>
      </c>
      <c r="AR20" s="13">
        <f>TEXT(MOD(TIMEVALUE(AR5)+33/1440,1),"HH:MM")</f>
        <v/>
      </c>
      <c r="AS20" s="13">
        <f>TEXT(MOD(TIMEVALUE(AS5)+33/1440,1),"HH:MM")</f>
        <v/>
      </c>
      <c r="AT20" s="13">
        <f>TEXT(MOD(TIMEVALUE(AT5)+33/1440,1),"HH:MM")</f>
        <v/>
      </c>
      <c r="AU20" s="13">
        <f>TEXT(MOD(TIMEVALUE(AU5)+33/1440,1),"HH:MM")</f>
        <v/>
      </c>
      <c r="AV20" s="13">
        <f>TEXT(MOD(TIMEVALUE(AV5)+33/1440,1),"HH:MM")</f>
        <v/>
      </c>
      <c r="AW20" s="13">
        <f>TEXT(MOD(TIMEVALUE(AW5)+33/1440,1),"HH:MM")</f>
        <v/>
      </c>
      <c r="AX20" s="13">
        <f>TEXT(MOD(TIMEVALUE(AX5)+33/1440,1),"HH:MM")</f>
        <v/>
      </c>
      <c r="AY20" s="13">
        <f>TEXT(MOD(TIMEVALUE(AY5)+33/1440,1),"HH:MM")</f>
        <v/>
      </c>
      <c r="AZ20" s="13">
        <f>TEXT(MOD(TIMEVALUE(AZ5)+33/1440,1),"HH:MM")</f>
        <v/>
      </c>
      <c r="BA20" s="13">
        <f>TEXT(MOD(TIMEVALUE(BA5)+33/1440,1),"HH:MM")</f>
        <v/>
      </c>
      <c r="BB20" s="13">
        <f>TEXT(MOD(TIMEVALUE(BB5)+33/1440,1),"HH:MM")</f>
        <v/>
      </c>
      <c r="BC20" s="13">
        <f>TEXT(MOD(TIMEVALUE(BC5)+33/1440,1),"HH:MM")</f>
        <v/>
      </c>
      <c r="BD20" s="13">
        <f>TEXT(MOD(TIMEVALUE(BD5)+33/1440,1),"HH:MM")</f>
        <v/>
      </c>
      <c r="BE20" s="13">
        <f>TEXT(MOD(TIMEVALUE(BE5)+33/1440,1),"HH:MM")</f>
        <v/>
      </c>
      <c r="BF20" s="13">
        <f>TEXT(MOD(TIMEVALUE(BF5)+33/1440,1),"HH:MM")</f>
        <v/>
      </c>
      <c r="BG20" s="13">
        <f>TEXT(MOD(TIMEVALUE(BG5)+33/1440,1),"HH:MM")</f>
        <v/>
      </c>
      <c r="BH20" s="13">
        <f>TEXT(MOD(TIMEVALUE(BH5)+33/1440,1),"HH:MM")</f>
        <v/>
      </c>
      <c r="BI20" s="13">
        <f>TEXT(MOD(TIMEVALUE(BI5)+33/1440,1),"HH:MM")</f>
        <v/>
      </c>
      <c r="BJ20" s="13">
        <f>TEXT(MOD(TIMEVALUE(BJ5)+33/1440,1),"HH:MM")</f>
        <v/>
      </c>
      <c r="BK20" s="13">
        <f>TEXT(MOD(TIMEVALUE(BK5)+33/1440,1),"HH:MM")</f>
        <v/>
      </c>
      <c r="BL20" s="13">
        <f>TEXT(MOD(TIMEVALUE(BL5)+33/1440,1),"HH:MM")</f>
        <v/>
      </c>
      <c r="BM20" s="13">
        <f>TEXT(MOD(TIMEVALUE(BM5)+33/1440,1),"HH:MM")</f>
        <v/>
      </c>
      <c r="BN20" s="13">
        <f>TEXT(MOD(TIMEVALUE(BN5)+33/1440,1),"HH:MM")</f>
        <v/>
      </c>
      <c r="BO20" s="13">
        <f>TEXT(MOD(TIMEVALUE(BO5)+33/1440,1),"HH:MM")</f>
        <v/>
      </c>
      <c r="BP20" s="13">
        <f>TEXT(MOD(TIMEVALUE(BP5)+33/1440,1),"HH:MM")</f>
        <v/>
      </c>
      <c r="BQ20" s="13">
        <f>TEXT(MOD(TIMEVALUE(BQ5)+33/1440,1),"HH:MM")</f>
        <v/>
      </c>
      <c r="BR20" s="13">
        <f>TEXT(MOD(TIMEVALUE(BR5)+33/1440,1),"HH:MM")</f>
        <v/>
      </c>
      <c r="BS20" s="13">
        <f>TEXT(MOD(TIMEVALUE(BS5)+33/1440,1),"HH:MM")</f>
        <v/>
      </c>
      <c r="BT20" s="13">
        <f>TEXT(MOD(TIMEVALUE(BT5)+33/1440,1),"HH:MM")</f>
        <v/>
      </c>
      <c r="BU20" s="13">
        <f>TEXT(MOD(TIMEVALUE(BU5)+33/1440,1),"HH:MM")</f>
        <v/>
      </c>
      <c r="BV20" s="13">
        <f>TEXT(MOD(TIMEVALUE(BV5)+33/1440,1),"HH:MM")</f>
        <v/>
      </c>
      <c r="BW20" s="13">
        <f>TEXT(MOD(TIMEVALUE(BW5)+33/1440,1),"HH:MM")</f>
        <v/>
      </c>
      <c r="BX20" s="13">
        <f>TEXT(MOD(TIMEVALUE(BX5)+33/1440,1),"HH:MM")</f>
        <v/>
      </c>
      <c r="BY20" s="13">
        <f>TEXT(MOD(TIMEVALUE(BY5)+33/1440,1),"HH:MM")</f>
        <v/>
      </c>
      <c r="BZ20" s="13">
        <f>TEXT(MOD(TIMEVALUE(BZ5)+33/1440,1),"HH:MM")</f>
        <v/>
      </c>
      <c r="CA20" s="13">
        <f>TEXT(MOD(TIMEVALUE(CA5)+33/1440,1),"HH:MM")</f>
        <v/>
      </c>
      <c r="CB20" s="13">
        <f>TEXT(MOD(TIMEVALUE(CB5)+33/1440,1),"HH:MM")</f>
        <v/>
      </c>
      <c r="CC20" s="13">
        <f>TEXT(MOD(TIMEVALUE(CC5)+33/1440,1),"HH:MM")</f>
        <v/>
      </c>
      <c r="CD20" s="13">
        <f>TEXT(MOD(TIMEVALUE(CD5)+33/1440,1),"HH:MM")</f>
        <v/>
      </c>
      <c r="CE20" s="13">
        <f>TEXT(MOD(TIMEVALUE(CE5)+33/1440,1),"HH:MM")</f>
        <v/>
      </c>
      <c r="CF20" s="13">
        <f>TEXT(MOD(TIMEVALUE(CF5)+33/1440,1),"HH:MM")</f>
        <v/>
      </c>
      <c r="CG20" s="13">
        <f>TEXT(MOD(TIMEVALUE(CG5)+33/1440,1),"HH:MM")</f>
        <v/>
      </c>
      <c r="CH20" s="13">
        <f>TEXT(MOD(TIMEVALUE(CH5)+33/1440,1),"HH:MM")</f>
        <v/>
      </c>
      <c r="CI20" s="13">
        <f>TEXT(MOD(TIMEVALUE(CI5)+33/1440,1),"HH:MM")</f>
        <v/>
      </c>
      <c r="CJ20" s="13">
        <f>TEXT(MOD(TIMEVALUE(CJ5)+33/1440,1),"HH:MM")</f>
        <v/>
      </c>
      <c r="CK20" s="13">
        <f>TEXT(MOD(TIMEVALUE(CK5)+33/1440,1),"HH:MM")</f>
        <v/>
      </c>
      <c r="CL20" s="13">
        <f>TEXT(MOD(TIMEVALUE(CL5)+33/1440,1),"HH:MM")</f>
        <v/>
      </c>
      <c r="CM20" s="13">
        <f>TEXT(MOD(TIMEVALUE(CM5)+33/1440,1),"HH:MM")</f>
        <v/>
      </c>
      <c r="CN20" s="13">
        <f>TEXT(MOD(TIMEVALUE(CN5)+33/1440,1),"HH:MM")</f>
        <v/>
      </c>
      <c r="CO20" s="13">
        <f>TEXT(MOD(TIMEVALUE(CO5)+33/1440,1),"HH:MM")</f>
        <v/>
      </c>
      <c r="CP20" s="13">
        <f>TEXT(MOD(TIMEVALUE(CP5)+33/1440,1),"HH:MM")</f>
        <v/>
      </c>
    </row>
    <row r="21" ht="16.5" customHeight="1" s="26">
      <c r="A21" s="14" t="inlineStr">
        <is>
          <t>Cnel. Fco. Lynch</t>
        </is>
      </c>
      <c r="B21" s="15">
        <f>TEXT(MOD(TIMEVALUE(B5)+35/1440,1),"HH:MM")</f>
        <v/>
      </c>
      <c r="C21" s="15">
        <f>TEXT(MOD(TIMEVALUE(C5)+35/1440,1),"HH:MM")</f>
        <v/>
      </c>
      <c r="D21" s="15">
        <f>TEXT(MOD(TIMEVALUE(D5)+35/1440,1),"HH:MM")</f>
        <v/>
      </c>
      <c r="E21" s="15">
        <f>TEXT(MOD(TIMEVALUE(E5)+35/1440,1),"HH:MM")</f>
        <v/>
      </c>
      <c r="F21" s="15">
        <f>TEXT(MOD(TIMEVALUE(F5)+35/1440,1),"HH:MM")</f>
        <v/>
      </c>
      <c r="G21" s="15">
        <f>TEXT(MOD(TIMEVALUE(G5)+35/1440,1),"HH:MM")</f>
        <v/>
      </c>
      <c r="H21" s="15">
        <f>TEXT(MOD(TIMEVALUE(H5)+35/1440,1),"HH:MM")</f>
        <v/>
      </c>
      <c r="I21" s="15">
        <f>TEXT(MOD(TIMEVALUE(I5)+35/1440,1),"HH:MM")</f>
        <v/>
      </c>
      <c r="J21" s="15">
        <f>TEXT(MOD(TIMEVALUE(J5)+35/1440,1),"HH:MM")</f>
        <v/>
      </c>
      <c r="K21" s="15">
        <f>TEXT(MOD(TIMEVALUE(K5)+35/1440,1),"HH:MM")</f>
        <v/>
      </c>
      <c r="L21" s="15">
        <f>TEXT(MOD(TIMEVALUE(L5)+35/1440,1),"HH:MM")</f>
        <v/>
      </c>
      <c r="M21" s="15">
        <f>TEXT(MOD(TIMEVALUE(M5)+35/1440,1),"HH:MM")</f>
        <v/>
      </c>
      <c r="N21" s="15">
        <f>TEXT(MOD(TIMEVALUE(N5)+35/1440,1),"HH:MM")</f>
        <v/>
      </c>
      <c r="O21" s="15">
        <f>TEXT(MOD(TIMEVALUE(O5)+35/1440,1),"HH:MM")</f>
        <v/>
      </c>
      <c r="P21" s="15">
        <f>TEXT(MOD(TIMEVALUE(P5)+35/1440,1),"HH:MM")</f>
        <v/>
      </c>
      <c r="Q21" s="15">
        <f>TEXT(MOD(TIMEVALUE(Q5)+35/1440,1),"HH:MM")</f>
        <v/>
      </c>
      <c r="R21" s="15">
        <f>TEXT(MOD(TIMEVALUE(R5)+35/1440,1),"HH:MM")</f>
        <v/>
      </c>
      <c r="S21" s="15">
        <f>TEXT(MOD(TIMEVALUE(S5)+35/1440,1),"HH:MM")</f>
        <v/>
      </c>
      <c r="T21" s="15">
        <f>TEXT(MOD(TIMEVALUE(T5)+35/1440,1),"HH:MM")</f>
        <v/>
      </c>
      <c r="U21" s="15">
        <f>TEXT(MOD(TIMEVALUE(U5)+35/1440,1),"HH:MM")</f>
        <v/>
      </c>
      <c r="V21" s="15">
        <f>TEXT(MOD(TIMEVALUE(V5)+35/1440,1),"HH:MM")</f>
        <v/>
      </c>
      <c r="W21" s="15">
        <f>TEXT(MOD(TIMEVALUE(W5)+35/1440,1),"HH:MM")</f>
        <v/>
      </c>
      <c r="X21" s="15">
        <f>TEXT(MOD(TIMEVALUE(X5)+35/1440,1),"HH:MM")</f>
        <v/>
      </c>
      <c r="Y21" s="15">
        <f>TEXT(MOD(TIMEVALUE(Y5)+35/1440,1),"HH:MM")</f>
        <v/>
      </c>
      <c r="Z21" s="15">
        <f>TEXT(MOD(TIMEVALUE(Z5)+35/1440,1),"HH:MM")</f>
        <v/>
      </c>
      <c r="AA21" s="15">
        <f>TEXT(MOD(TIMEVALUE(AA5)+35/1440,1),"HH:MM")</f>
        <v/>
      </c>
      <c r="AB21" s="15">
        <f>TEXT(MOD(TIMEVALUE(AB5)+35/1440,1),"HH:MM")</f>
        <v/>
      </c>
      <c r="AC21" s="15">
        <f>TEXT(MOD(TIMEVALUE(AC5)+35/1440,1),"HH:MM")</f>
        <v/>
      </c>
      <c r="AD21" s="15">
        <f>TEXT(MOD(TIMEVALUE(AD5)+35/1440,1),"HH:MM")</f>
        <v/>
      </c>
      <c r="AE21" s="15">
        <f>TEXT(MOD(TIMEVALUE(AE5)+35/1440,1),"HH:MM")</f>
        <v/>
      </c>
      <c r="AF21" s="15">
        <f>TEXT(MOD(TIMEVALUE(AF5)+35/1440,1),"HH:MM")</f>
        <v/>
      </c>
      <c r="AG21" s="15">
        <f>TEXT(MOD(TIMEVALUE(AG5)+35/1440,1),"HH:MM")</f>
        <v/>
      </c>
      <c r="AH21" s="15">
        <f>TEXT(MOD(TIMEVALUE(AH5)+35/1440,1),"HH:MM")</f>
        <v/>
      </c>
      <c r="AI21" s="15">
        <f>TEXT(MOD(TIMEVALUE(AI5)+35/1440,1),"HH:MM")</f>
        <v/>
      </c>
      <c r="AJ21" s="15">
        <f>TEXT(MOD(TIMEVALUE(AJ5)+35/1440,1),"HH:MM")</f>
        <v/>
      </c>
      <c r="AK21" s="15">
        <f>TEXT(MOD(TIMEVALUE(AK5)+35/1440,1),"HH:MM")</f>
        <v/>
      </c>
      <c r="AL21" s="15">
        <f>TEXT(MOD(TIMEVALUE(AL5)+35/1440,1),"HH:MM")</f>
        <v/>
      </c>
      <c r="AM21" s="15">
        <f>TEXT(MOD(TIMEVALUE(AM5)+35/1440,1),"HH:MM")</f>
        <v/>
      </c>
      <c r="AN21" s="15">
        <f>TEXT(MOD(TIMEVALUE(AN5)+35/1440,1),"HH:MM")</f>
        <v/>
      </c>
      <c r="AO21" s="15">
        <f>TEXT(MOD(TIMEVALUE(AO5)+35/1440,1),"HH:MM")</f>
        <v/>
      </c>
      <c r="AP21" s="15">
        <f>TEXT(MOD(TIMEVALUE(AP5)+35/1440,1),"HH:MM")</f>
        <v/>
      </c>
      <c r="AQ21" s="15">
        <f>TEXT(MOD(TIMEVALUE(AQ5)+35/1440,1),"HH:MM")</f>
        <v/>
      </c>
      <c r="AR21" s="15">
        <f>TEXT(MOD(TIMEVALUE(AR5)+35/1440,1),"HH:MM")</f>
        <v/>
      </c>
      <c r="AS21" s="15">
        <f>TEXT(MOD(TIMEVALUE(AS5)+35/1440,1),"HH:MM")</f>
        <v/>
      </c>
      <c r="AT21" s="15">
        <f>TEXT(MOD(TIMEVALUE(AT5)+35/1440,1),"HH:MM")</f>
        <v/>
      </c>
      <c r="AU21" s="15">
        <f>TEXT(MOD(TIMEVALUE(AU5)+35/1440,1),"HH:MM")</f>
        <v/>
      </c>
      <c r="AV21" s="15">
        <f>TEXT(MOD(TIMEVALUE(AV5)+35/1440,1),"HH:MM")</f>
        <v/>
      </c>
      <c r="AW21" s="15">
        <f>TEXT(MOD(TIMEVALUE(AW5)+35/1440,1),"HH:MM")</f>
        <v/>
      </c>
      <c r="AX21" s="15">
        <f>TEXT(MOD(TIMEVALUE(AX5)+35/1440,1),"HH:MM")</f>
        <v/>
      </c>
      <c r="AY21" s="15">
        <f>TEXT(MOD(TIMEVALUE(AY5)+35/1440,1),"HH:MM")</f>
        <v/>
      </c>
      <c r="AZ21" s="15">
        <f>TEXT(MOD(TIMEVALUE(AZ5)+35/1440,1),"HH:MM")</f>
        <v/>
      </c>
      <c r="BA21" s="15">
        <f>TEXT(MOD(TIMEVALUE(BA5)+35/1440,1),"HH:MM")</f>
        <v/>
      </c>
      <c r="BB21" s="15">
        <f>TEXT(MOD(TIMEVALUE(BB5)+35/1440,1),"HH:MM")</f>
        <v/>
      </c>
      <c r="BC21" s="15">
        <f>TEXT(MOD(TIMEVALUE(BC5)+35/1440,1),"HH:MM")</f>
        <v/>
      </c>
      <c r="BD21" s="15">
        <f>TEXT(MOD(TIMEVALUE(BD5)+35/1440,1),"HH:MM")</f>
        <v/>
      </c>
      <c r="BE21" s="15">
        <f>TEXT(MOD(TIMEVALUE(BE5)+35/1440,1),"HH:MM")</f>
        <v/>
      </c>
      <c r="BF21" s="15">
        <f>TEXT(MOD(TIMEVALUE(BF5)+35/1440,1),"HH:MM")</f>
        <v/>
      </c>
      <c r="BG21" s="15">
        <f>TEXT(MOD(TIMEVALUE(BG5)+35/1440,1),"HH:MM")</f>
        <v/>
      </c>
      <c r="BH21" s="15">
        <f>TEXT(MOD(TIMEVALUE(BH5)+35/1440,1),"HH:MM")</f>
        <v/>
      </c>
      <c r="BI21" s="15">
        <f>TEXT(MOD(TIMEVALUE(BI5)+35/1440,1),"HH:MM")</f>
        <v/>
      </c>
      <c r="BJ21" s="15">
        <f>TEXT(MOD(TIMEVALUE(BJ5)+35/1440,1),"HH:MM")</f>
        <v/>
      </c>
      <c r="BK21" s="15">
        <f>TEXT(MOD(TIMEVALUE(BK5)+35/1440,1),"HH:MM")</f>
        <v/>
      </c>
      <c r="BL21" s="15">
        <f>TEXT(MOD(TIMEVALUE(BL5)+35/1440,1),"HH:MM")</f>
        <v/>
      </c>
      <c r="BM21" s="15">
        <f>TEXT(MOD(TIMEVALUE(BM5)+35/1440,1),"HH:MM")</f>
        <v/>
      </c>
      <c r="BN21" s="15">
        <f>TEXT(MOD(TIMEVALUE(BN5)+35/1440,1),"HH:MM")</f>
        <v/>
      </c>
      <c r="BO21" s="15">
        <f>TEXT(MOD(TIMEVALUE(BO5)+35/1440,1),"HH:MM")</f>
        <v/>
      </c>
      <c r="BP21" s="15">
        <f>TEXT(MOD(TIMEVALUE(BP5)+35/1440,1),"HH:MM")</f>
        <v/>
      </c>
      <c r="BQ21" s="15">
        <f>TEXT(MOD(TIMEVALUE(BQ5)+35/1440,1),"HH:MM")</f>
        <v/>
      </c>
      <c r="BR21" s="15">
        <f>TEXT(MOD(TIMEVALUE(BR5)+35/1440,1),"HH:MM")</f>
        <v/>
      </c>
      <c r="BS21" s="15">
        <f>TEXT(MOD(TIMEVALUE(BS5)+35/1440,1),"HH:MM")</f>
        <v/>
      </c>
      <c r="BT21" s="15">
        <f>TEXT(MOD(TIMEVALUE(BT5)+35/1440,1),"HH:MM")</f>
        <v/>
      </c>
      <c r="BU21" s="15">
        <f>TEXT(MOD(TIMEVALUE(BU5)+35/1440,1),"HH:MM")</f>
        <v/>
      </c>
      <c r="BV21" s="15">
        <f>TEXT(MOD(TIMEVALUE(BV5)+35/1440,1),"HH:MM")</f>
        <v/>
      </c>
      <c r="BW21" s="15">
        <f>TEXT(MOD(TIMEVALUE(BW5)+35/1440,1),"HH:MM")</f>
        <v/>
      </c>
      <c r="BX21" s="15">
        <f>TEXT(MOD(TIMEVALUE(BX5)+35/1440,1),"HH:MM")</f>
        <v/>
      </c>
      <c r="BY21" s="15">
        <f>TEXT(MOD(TIMEVALUE(BY5)+35/1440,1),"HH:MM")</f>
        <v/>
      </c>
      <c r="BZ21" s="15">
        <f>TEXT(MOD(TIMEVALUE(BZ5)+35/1440,1),"HH:MM")</f>
        <v/>
      </c>
      <c r="CA21" s="15">
        <f>TEXT(MOD(TIMEVALUE(CA5)+35/1440,1),"HH:MM")</f>
        <v/>
      </c>
      <c r="CB21" s="15">
        <f>TEXT(MOD(TIMEVALUE(CB5)+35/1440,1),"HH:MM")</f>
        <v/>
      </c>
      <c r="CC21" s="15">
        <f>TEXT(MOD(TIMEVALUE(CC5)+35/1440,1),"HH:MM")</f>
        <v/>
      </c>
      <c r="CD21" s="15">
        <f>TEXT(MOD(TIMEVALUE(CD5)+35/1440,1),"HH:MM")</f>
        <v/>
      </c>
      <c r="CE21" s="15">
        <f>TEXT(MOD(TIMEVALUE(CE5)+35/1440,1),"HH:MM")</f>
        <v/>
      </c>
      <c r="CF21" s="15">
        <f>TEXT(MOD(TIMEVALUE(CF5)+35/1440,1),"HH:MM")</f>
        <v/>
      </c>
      <c r="CG21" s="15">
        <f>TEXT(MOD(TIMEVALUE(CG5)+35/1440,1),"HH:MM")</f>
        <v/>
      </c>
      <c r="CH21" s="15">
        <f>TEXT(MOD(TIMEVALUE(CH5)+35/1440,1),"HH:MM")</f>
        <v/>
      </c>
      <c r="CI21" s="15">
        <f>TEXT(MOD(TIMEVALUE(CI5)+35/1440,1),"HH:MM")</f>
        <v/>
      </c>
      <c r="CJ21" s="15">
        <f>TEXT(MOD(TIMEVALUE(CJ5)+35/1440,1),"HH:MM")</f>
        <v/>
      </c>
      <c r="CK21" s="15">
        <f>TEXT(MOD(TIMEVALUE(CK5)+35/1440,1),"HH:MM")</f>
        <v/>
      </c>
      <c r="CL21" s="15">
        <f>TEXT(MOD(TIMEVALUE(CL5)+35/1440,1),"HH:MM")</f>
        <v/>
      </c>
      <c r="CM21" s="15">
        <f>TEXT(MOD(TIMEVALUE(CM5)+35/1440,1),"HH:MM")</f>
        <v/>
      </c>
      <c r="CN21" s="15">
        <f>TEXT(MOD(TIMEVALUE(CN5)+35/1440,1),"HH:MM")</f>
        <v/>
      </c>
      <c r="CO21" s="15">
        <f>TEXT(MOD(TIMEVALUE(CO5)+35/1440,1),"HH:MM")</f>
        <v/>
      </c>
      <c r="CP21" s="15">
        <f>TEXT(MOD(TIMEVALUE(CP5)+35/1440,1),"HH:MM")</f>
        <v/>
      </c>
    </row>
    <row r="22" ht="16.5" customHeight="1" s="26">
      <c r="A22" s="12" t="inlineStr">
        <is>
          <t>Antonio Devoto</t>
        </is>
      </c>
      <c r="B22" s="13">
        <f>TEXT(MOD(TIMEVALUE(B5)+37/1440,1),"HH:MM")</f>
        <v/>
      </c>
      <c r="C22" s="13">
        <f>TEXT(MOD(TIMEVALUE(C5)+37/1440,1),"HH:MM")</f>
        <v/>
      </c>
      <c r="D22" s="13">
        <f>TEXT(MOD(TIMEVALUE(D5)+37/1440,1),"HH:MM")</f>
        <v/>
      </c>
      <c r="E22" s="13">
        <f>TEXT(MOD(TIMEVALUE(E5)+37/1440,1),"HH:MM")</f>
        <v/>
      </c>
      <c r="F22" s="13">
        <f>TEXT(MOD(TIMEVALUE(F5)+37/1440,1),"HH:MM")</f>
        <v/>
      </c>
      <c r="G22" s="13">
        <f>TEXT(MOD(TIMEVALUE(G5)+37/1440,1),"HH:MM")</f>
        <v/>
      </c>
      <c r="H22" s="13">
        <f>TEXT(MOD(TIMEVALUE(H5)+37/1440,1),"HH:MM")</f>
        <v/>
      </c>
      <c r="I22" s="13">
        <f>TEXT(MOD(TIMEVALUE(I5)+37/1440,1),"HH:MM")</f>
        <v/>
      </c>
      <c r="J22" s="13">
        <f>TEXT(MOD(TIMEVALUE(J5)+37/1440,1),"HH:MM")</f>
        <v/>
      </c>
      <c r="K22" s="13">
        <f>TEXT(MOD(TIMEVALUE(K5)+37/1440,1),"HH:MM")</f>
        <v/>
      </c>
      <c r="L22" s="13">
        <f>TEXT(MOD(TIMEVALUE(L5)+37/1440,1),"HH:MM")</f>
        <v/>
      </c>
      <c r="M22" s="13">
        <f>TEXT(MOD(TIMEVALUE(M5)+37/1440,1),"HH:MM")</f>
        <v/>
      </c>
      <c r="N22" s="13">
        <f>TEXT(MOD(TIMEVALUE(N5)+37/1440,1),"HH:MM")</f>
        <v/>
      </c>
      <c r="O22" s="13">
        <f>TEXT(MOD(TIMEVALUE(O5)+37/1440,1),"HH:MM")</f>
        <v/>
      </c>
      <c r="P22" s="13">
        <f>TEXT(MOD(TIMEVALUE(P5)+37/1440,1),"HH:MM")</f>
        <v/>
      </c>
      <c r="Q22" s="13">
        <f>TEXT(MOD(TIMEVALUE(Q5)+37/1440,1),"HH:MM")</f>
        <v/>
      </c>
      <c r="R22" s="13">
        <f>TEXT(MOD(TIMEVALUE(R5)+37/1440,1),"HH:MM")</f>
        <v/>
      </c>
      <c r="S22" s="13">
        <f>TEXT(MOD(TIMEVALUE(S5)+37/1440,1),"HH:MM")</f>
        <v/>
      </c>
      <c r="T22" s="13">
        <f>TEXT(MOD(TIMEVALUE(T5)+37/1440,1),"HH:MM")</f>
        <v/>
      </c>
      <c r="U22" s="13">
        <f>TEXT(MOD(TIMEVALUE(U5)+37/1440,1),"HH:MM")</f>
        <v/>
      </c>
      <c r="V22" s="13">
        <f>TEXT(MOD(TIMEVALUE(V5)+37/1440,1),"HH:MM")</f>
        <v/>
      </c>
      <c r="W22" s="13">
        <f>TEXT(MOD(TIMEVALUE(W5)+37/1440,1),"HH:MM")</f>
        <v/>
      </c>
      <c r="X22" s="13">
        <f>TEXT(MOD(TIMEVALUE(X5)+37/1440,1),"HH:MM")</f>
        <v/>
      </c>
      <c r="Y22" s="13">
        <f>TEXT(MOD(TIMEVALUE(Y5)+37/1440,1),"HH:MM")</f>
        <v/>
      </c>
      <c r="Z22" s="13">
        <f>TEXT(MOD(TIMEVALUE(Z5)+37/1440,1),"HH:MM")</f>
        <v/>
      </c>
      <c r="AA22" s="13">
        <f>TEXT(MOD(TIMEVALUE(AA5)+37/1440,1),"HH:MM")</f>
        <v/>
      </c>
      <c r="AB22" s="13">
        <f>TEXT(MOD(TIMEVALUE(AB5)+37/1440,1),"HH:MM")</f>
        <v/>
      </c>
      <c r="AC22" s="13">
        <f>TEXT(MOD(TIMEVALUE(AC5)+37/1440,1),"HH:MM")</f>
        <v/>
      </c>
      <c r="AD22" s="13">
        <f>TEXT(MOD(TIMEVALUE(AD5)+37/1440,1),"HH:MM")</f>
        <v/>
      </c>
      <c r="AE22" s="13">
        <f>TEXT(MOD(TIMEVALUE(AE5)+37/1440,1),"HH:MM")</f>
        <v/>
      </c>
      <c r="AF22" s="13">
        <f>TEXT(MOD(TIMEVALUE(AF5)+37/1440,1),"HH:MM")</f>
        <v/>
      </c>
      <c r="AG22" s="13">
        <f>TEXT(MOD(TIMEVALUE(AG5)+37/1440,1),"HH:MM")</f>
        <v/>
      </c>
      <c r="AH22" s="13">
        <f>TEXT(MOD(TIMEVALUE(AH5)+37/1440,1),"HH:MM")</f>
        <v/>
      </c>
      <c r="AI22" s="13">
        <f>TEXT(MOD(TIMEVALUE(AI5)+37/1440,1),"HH:MM")</f>
        <v/>
      </c>
      <c r="AJ22" s="13">
        <f>TEXT(MOD(TIMEVALUE(AJ5)+37/1440,1),"HH:MM")</f>
        <v/>
      </c>
      <c r="AK22" s="13">
        <f>TEXT(MOD(TIMEVALUE(AK5)+37/1440,1),"HH:MM")</f>
        <v/>
      </c>
      <c r="AL22" s="13">
        <f>TEXT(MOD(TIMEVALUE(AL5)+37/1440,1),"HH:MM")</f>
        <v/>
      </c>
      <c r="AM22" s="13">
        <f>TEXT(MOD(TIMEVALUE(AM5)+37/1440,1),"HH:MM")</f>
        <v/>
      </c>
      <c r="AN22" s="13">
        <f>TEXT(MOD(TIMEVALUE(AN5)+37/1440,1),"HH:MM")</f>
        <v/>
      </c>
      <c r="AO22" s="13">
        <f>TEXT(MOD(TIMEVALUE(AO5)+37/1440,1),"HH:MM")</f>
        <v/>
      </c>
      <c r="AP22" s="13">
        <f>TEXT(MOD(TIMEVALUE(AP5)+37/1440,1),"HH:MM")</f>
        <v/>
      </c>
      <c r="AQ22" s="13">
        <f>TEXT(MOD(TIMEVALUE(AQ5)+37/1440,1),"HH:MM")</f>
        <v/>
      </c>
      <c r="AR22" s="13">
        <f>TEXT(MOD(TIMEVALUE(AR5)+37/1440,1),"HH:MM")</f>
        <v/>
      </c>
      <c r="AS22" s="13">
        <f>TEXT(MOD(TIMEVALUE(AS5)+37/1440,1),"HH:MM")</f>
        <v/>
      </c>
      <c r="AT22" s="13">
        <f>TEXT(MOD(TIMEVALUE(AT5)+37/1440,1),"HH:MM")</f>
        <v/>
      </c>
      <c r="AU22" s="13">
        <f>TEXT(MOD(TIMEVALUE(AU5)+37/1440,1),"HH:MM")</f>
        <v/>
      </c>
      <c r="AV22" s="13">
        <f>TEXT(MOD(TIMEVALUE(AV5)+37/1440,1),"HH:MM")</f>
        <v/>
      </c>
      <c r="AW22" s="13">
        <f>TEXT(MOD(TIMEVALUE(AW5)+37/1440,1),"HH:MM")</f>
        <v/>
      </c>
      <c r="AX22" s="13">
        <f>TEXT(MOD(TIMEVALUE(AX5)+37/1440,1),"HH:MM")</f>
        <v/>
      </c>
      <c r="AY22" s="13">
        <f>TEXT(MOD(TIMEVALUE(AY5)+37/1440,1),"HH:MM")</f>
        <v/>
      </c>
      <c r="AZ22" s="13">
        <f>TEXT(MOD(TIMEVALUE(AZ5)+37/1440,1),"HH:MM")</f>
        <v/>
      </c>
      <c r="BA22" s="13">
        <f>TEXT(MOD(TIMEVALUE(BA5)+37/1440,1),"HH:MM")</f>
        <v/>
      </c>
      <c r="BB22" s="13">
        <f>TEXT(MOD(TIMEVALUE(BB5)+37/1440,1),"HH:MM")</f>
        <v/>
      </c>
      <c r="BC22" s="13">
        <f>TEXT(MOD(TIMEVALUE(BC5)+37/1440,1),"HH:MM")</f>
        <v/>
      </c>
      <c r="BD22" s="13">
        <f>TEXT(MOD(TIMEVALUE(BD5)+37/1440,1),"HH:MM")</f>
        <v/>
      </c>
      <c r="BE22" s="13">
        <f>TEXT(MOD(TIMEVALUE(BE5)+37/1440,1),"HH:MM")</f>
        <v/>
      </c>
      <c r="BF22" s="13">
        <f>TEXT(MOD(TIMEVALUE(BF5)+37/1440,1),"HH:MM")</f>
        <v/>
      </c>
      <c r="BG22" s="13">
        <f>TEXT(MOD(TIMEVALUE(BG5)+37/1440,1),"HH:MM")</f>
        <v/>
      </c>
      <c r="BH22" s="13">
        <f>TEXT(MOD(TIMEVALUE(BH5)+37/1440,1),"HH:MM")</f>
        <v/>
      </c>
      <c r="BI22" s="13">
        <f>TEXT(MOD(TIMEVALUE(BI5)+37/1440,1),"HH:MM")</f>
        <v/>
      </c>
      <c r="BJ22" s="13">
        <f>TEXT(MOD(TIMEVALUE(BJ5)+37/1440,1),"HH:MM")</f>
        <v/>
      </c>
      <c r="BK22" s="13">
        <f>TEXT(MOD(TIMEVALUE(BK5)+37/1440,1),"HH:MM")</f>
        <v/>
      </c>
      <c r="BL22" s="13">
        <f>TEXT(MOD(TIMEVALUE(BL5)+37/1440,1),"HH:MM")</f>
        <v/>
      </c>
      <c r="BM22" s="13">
        <f>TEXT(MOD(TIMEVALUE(BM5)+37/1440,1),"HH:MM")</f>
        <v/>
      </c>
      <c r="BN22" s="13">
        <f>TEXT(MOD(TIMEVALUE(BN5)+37/1440,1),"HH:MM")</f>
        <v/>
      </c>
      <c r="BO22" s="13">
        <f>TEXT(MOD(TIMEVALUE(BO5)+37/1440,1),"HH:MM")</f>
        <v/>
      </c>
      <c r="BP22" s="13">
        <f>TEXT(MOD(TIMEVALUE(BP5)+37/1440,1),"HH:MM")</f>
        <v/>
      </c>
      <c r="BQ22" s="13">
        <f>TEXT(MOD(TIMEVALUE(BQ5)+37/1440,1),"HH:MM")</f>
        <v/>
      </c>
      <c r="BR22" s="13">
        <f>TEXT(MOD(TIMEVALUE(BR5)+37/1440,1),"HH:MM")</f>
        <v/>
      </c>
      <c r="BS22" s="13">
        <f>TEXT(MOD(TIMEVALUE(BS5)+37/1440,1),"HH:MM")</f>
        <v/>
      </c>
      <c r="BT22" s="13">
        <f>TEXT(MOD(TIMEVALUE(BT5)+37/1440,1),"HH:MM")</f>
        <v/>
      </c>
      <c r="BU22" s="13">
        <f>TEXT(MOD(TIMEVALUE(BU5)+37/1440,1),"HH:MM")</f>
        <v/>
      </c>
      <c r="BV22" s="13">
        <f>TEXT(MOD(TIMEVALUE(BV5)+37/1440,1),"HH:MM")</f>
        <v/>
      </c>
      <c r="BW22" s="13">
        <f>TEXT(MOD(TIMEVALUE(BW5)+37/1440,1),"HH:MM")</f>
        <v/>
      </c>
      <c r="BX22" s="13">
        <f>TEXT(MOD(TIMEVALUE(BX5)+37/1440,1),"HH:MM")</f>
        <v/>
      </c>
      <c r="BY22" s="13">
        <f>TEXT(MOD(TIMEVALUE(BY5)+37/1440,1),"HH:MM")</f>
        <v/>
      </c>
      <c r="BZ22" s="13">
        <f>TEXT(MOD(TIMEVALUE(BZ5)+37/1440,1),"HH:MM")</f>
        <v/>
      </c>
      <c r="CA22" s="13">
        <f>TEXT(MOD(TIMEVALUE(CA5)+37/1440,1),"HH:MM")</f>
        <v/>
      </c>
      <c r="CB22" s="13">
        <f>TEXT(MOD(TIMEVALUE(CB5)+37/1440,1),"HH:MM")</f>
        <v/>
      </c>
      <c r="CC22" s="13">
        <f>TEXT(MOD(TIMEVALUE(CC5)+37/1440,1),"HH:MM")</f>
        <v/>
      </c>
      <c r="CD22" s="13">
        <f>TEXT(MOD(TIMEVALUE(CD5)+37/1440,1),"HH:MM")</f>
        <v/>
      </c>
      <c r="CE22" s="13">
        <f>TEXT(MOD(TIMEVALUE(CE5)+37/1440,1),"HH:MM")</f>
        <v/>
      </c>
      <c r="CF22" s="13">
        <f>TEXT(MOD(TIMEVALUE(CF5)+37/1440,1),"HH:MM")</f>
        <v/>
      </c>
      <c r="CG22" s="13">
        <f>TEXT(MOD(TIMEVALUE(CG5)+37/1440,1),"HH:MM")</f>
        <v/>
      </c>
      <c r="CH22" s="13">
        <f>TEXT(MOD(TIMEVALUE(CH5)+37/1440,1),"HH:MM")</f>
        <v/>
      </c>
      <c r="CI22" s="13">
        <f>TEXT(MOD(TIMEVALUE(CI5)+37/1440,1),"HH:MM")</f>
        <v/>
      </c>
      <c r="CJ22" s="13">
        <f>TEXT(MOD(TIMEVALUE(CJ5)+37/1440,1),"HH:MM")</f>
        <v/>
      </c>
      <c r="CK22" s="13">
        <f>TEXT(MOD(TIMEVALUE(CK5)+37/1440,1),"HH:MM")</f>
        <v/>
      </c>
      <c r="CL22" s="13">
        <f>TEXT(MOD(TIMEVALUE(CL5)+37/1440,1),"HH:MM")</f>
        <v/>
      </c>
      <c r="CM22" s="13">
        <f>TEXT(MOD(TIMEVALUE(CM5)+37/1440,1),"HH:MM")</f>
        <v/>
      </c>
      <c r="CN22" s="13">
        <f>TEXT(MOD(TIMEVALUE(CN5)+37/1440,1),"HH:MM")</f>
        <v/>
      </c>
      <c r="CO22" s="13">
        <f>TEXT(MOD(TIMEVALUE(CO5)+37/1440,1),"HH:MM")</f>
        <v/>
      </c>
      <c r="CP22" s="13">
        <f>TEXT(MOD(TIMEVALUE(CP5)+37/1440,1),"HH:MM")</f>
        <v/>
      </c>
    </row>
    <row r="23" ht="16.5" customHeight="1" s="26">
      <c r="A23" s="14" t="inlineStr">
        <is>
          <t>El Libertador</t>
        </is>
      </c>
      <c r="B23" s="15">
        <f>TEXT(MOD(TIMEVALUE(B5)+38/1440,1),"HH:MM")</f>
        <v/>
      </c>
      <c r="C23" s="15">
        <f>TEXT(MOD(TIMEVALUE(C5)+38/1440,1),"HH:MM")</f>
        <v/>
      </c>
      <c r="D23" s="15">
        <f>TEXT(MOD(TIMEVALUE(D5)+38/1440,1),"HH:MM")</f>
        <v/>
      </c>
      <c r="E23" s="15">
        <f>TEXT(MOD(TIMEVALUE(E5)+38/1440,1),"HH:MM")</f>
        <v/>
      </c>
      <c r="F23" s="15">
        <f>TEXT(MOD(TIMEVALUE(F5)+38/1440,1),"HH:MM")</f>
        <v/>
      </c>
      <c r="G23" s="15">
        <f>TEXT(MOD(TIMEVALUE(G5)+38/1440,1),"HH:MM")</f>
        <v/>
      </c>
      <c r="H23" s="15">
        <f>TEXT(MOD(TIMEVALUE(H5)+38/1440,1),"HH:MM")</f>
        <v/>
      </c>
      <c r="I23" s="15">
        <f>TEXT(MOD(TIMEVALUE(I5)+38/1440,1),"HH:MM")</f>
        <v/>
      </c>
      <c r="J23" s="15">
        <f>TEXT(MOD(TIMEVALUE(J5)+38/1440,1),"HH:MM")</f>
        <v/>
      </c>
      <c r="K23" s="15">
        <f>TEXT(MOD(TIMEVALUE(K5)+38/1440,1),"HH:MM")</f>
        <v/>
      </c>
      <c r="L23" s="15">
        <f>TEXT(MOD(TIMEVALUE(L5)+38/1440,1),"HH:MM")</f>
        <v/>
      </c>
      <c r="M23" s="15">
        <f>TEXT(MOD(TIMEVALUE(M5)+38/1440,1),"HH:MM")</f>
        <v/>
      </c>
      <c r="N23" s="15">
        <f>TEXT(MOD(TIMEVALUE(N5)+38/1440,1),"HH:MM")</f>
        <v/>
      </c>
      <c r="O23" s="15">
        <f>TEXT(MOD(TIMEVALUE(O5)+38/1440,1),"HH:MM")</f>
        <v/>
      </c>
      <c r="P23" s="15">
        <f>TEXT(MOD(TIMEVALUE(P5)+38/1440,1),"HH:MM")</f>
        <v/>
      </c>
      <c r="Q23" s="15">
        <f>TEXT(MOD(TIMEVALUE(Q5)+38/1440,1),"HH:MM")</f>
        <v/>
      </c>
      <c r="R23" s="15">
        <f>TEXT(MOD(TIMEVALUE(R5)+38/1440,1),"HH:MM")</f>
        <v/>
      </c>
      <c r="S23" s="15">
        <f>TEXT(MOD(TIMEVALUE(S5)+38/1440,1),"HH:MM")</f>
        <v/>
      </c>
      <c r="T23" s="15">
        <f>TEXT(MOD(TIMEVALUE(T5)+38/1440,1),"HH:MM")</f>
        <v/>
      </c>
      <c r="U23" s="15">
        <f>TEXT(MOD(TIMEVALUE(U5)+38/1440,1),"HH:MM")</f>
        <v/>
      </c>
      <c r="V23" s="15">
        <f>TEXT(MOD(TIMEVALUE(V5)+38/1440,1),"HH:MM")</f>
        <v/>
      </c>
      <c r="W23" s="15">
        <f>TEXT(MOD(TIMEVALUE(W5)+38/1440,1),"HH:MM")</f>
        <v/>
      </c>
      <c r="X23" s="15">
        <f>TEXT(MOD(TIMEVALUE(X5)+38/1440,1),"HH:MM")</f>
        <v/>
      </c>
      <c r="Y23" s="15">
        <f>TEXT(MOD(TIMEVALUE(Y5)+38/1440,1),"HH:MM")</f>
        <v/>
      </c>
      <c r="Z23" s="15">
        <f>TEXT(MOD(TIMEVALUE(Z5)+38/1440,1),"HH:MM")</f>
        <v/>
      </c>
      <c r="AA23" s="15">
        <f>TEXT(MOD(TIMEVALUE(AA5)+38/1440,1),"HH:MM")</f>
        <v/>
      </c>
      <c r="AB23" s="15">
        <f>TEXT(MOD(TIMEVALUE(AB5)+38/1440,1),"HH:MM")</f>
        <v/>
      </c>
      <c r="AC23" s="15">
        <f>TEXT(MOD(TIMEVALUE(AC5)+38/1440,1),"HH:MM")</f>
        <v/>
      </c>
      <c r="AD23" s="15">
        <f>TEXT(MOD(TIMEVALUE(AD5)+38/1440,1),"HH:MM")</f>
        <v/>
      </c>
      <c r="AE23" s="15">
        <f>TEXT(MOD(TIMEVALUE(AE5)+38/1440,1),"HH:MM")</f>
        <v/>
      </c>
      <c r="AF23" s="15">
        <f>TEXT(MOD(TIMEVALUE(AF5)+38/1440,1),"HH:MM")</f>
        <v/>
      </c>
      <c r="AG23" s="15">
        <f>TEXT(MOD(TIMEVALUE(AG5)+38/1440,1),"HH:MM")</f>
        <v/>
      </c>
      <c r="AH23" s="15">
        <f>TEXT(MOD(TIMEVALUE(AH5)+38/1440,1),"HH:MM")</f>
        <v/>
      </c>
      <c r="AI23" s="15">
        <f>TEXT(MOD(TIMEVALUE(AI5)+38/1440,1),"HH:MM")</f>
        <v/>
      </c>
      <c r="AJ23" s="15">
        <f>TEXT(MOD(TIMEVALUE(AJ5)+38/1440,1),"HH:MM")</f>
        <v/>
      </c>
      <c r="AK23" s="15">
        <f>TEXT(MOD(TIMEVALUE(AK5)+38/1440,1),"HH:MM")</f>
        <v/>
      </c>
      <c r="AL23" s="15">
        <f>TEXT(MOD(TIMEVALUE(AL5)+38/1440,1),"HH:MM")</f>
        <v/>
      </c>
      <c r="AM23" s="15">
        <f>TEXT(MOD(TIMEVALUE(AM5)+38/1440,1),"HH:MM")</f>
        <v/>
      </c>
      <c r="AN23" s="15">
        <f>TEXT(MOD(TIMEVALUE(AN5)+38/1440,1),"HH:MM")</f>
        <v/>
      </c>
      <c r="AO23" s="15">
        <f>TEXT(MOD(TIMEVALUE(AO5)+38/1440,1),"HH:MM")</f>
        <v/>
      </c>
      <c r="AP23" s="15">
        <f>TEXT(MOD(TIMEVALUE(AP5)+38/1440,1),"HH:MM")</f>
        <v/>
      </c>
      <c r="AQ23" s="15">
        <f>TEXT(MOD(TIMEVALUE(AQ5)+38/1440,1),"HH:MM")</f>
        <v/>
      </c>
      <c r="AR23" s="15">
        <f>TEXT(MOD(TIMEVALUE(AR5)+38/1440,1),"HH:MM")</f>
        <v/>
      </c>
      <c r="AS23" s="15">
        <f>TEXT(MOD(TIMEVALUE(AS5)+38/1440,1),"HH:MM")</f>
        <v/>
      </c>
      <c r="AT23" s="15">
        <f>TEXT(MOD(TIMEVALUE(AT5)+38/1440,1),"HH:MM")</f>
        <v/>
      </c>
      <c r="AU23" s="15">
        <f>TEXT(MOD(TIMEVALUE(AU5)+38/1440,1),"HH:MM")</f>
        <v/>
      </c>
      <c r="AV23" s="15">
        <f>TEXT(MOD(TIMEVALUE(AV5)+38/1440,1),"HH:MM")</f>
        <v/>
      </c>
      <c r="AW23" s="15">
        <f>TEXT(MOD(TIMEVALUE(AW5)+38/1440,1),"HH:MM")</f>
        <v/>
      </c>
      <c r="AX23" s="15">
        <f>TEXT(MOD(TIMEVALUE(AX5)+38/1440,1),"HH:MM")</f>
        <v/>
      </c>
      <c r="AY23" s="15">
        <f>TEXT(MOD(TIMEVALUE(AY5)+38/1440,1),"HH:MM")</f>
        <v/>
      </c>
      <c r="AZ23" s="15">
        <f>TEXT(MOD(TIMEVALUE(AZ5)+38/1440,1),"HH:MM")</f>
        <v/>
      </c>
      <c r="BA23" s="15">
        <f>TEXT(MOD(TIMEVALUE(BA5)+38/1440,1),"HH:MM")</f>
        <v/>
      </c>
      <c r="BB23" s="15">
        <f>TEXT(MOD(TIMEVALUE(BB5)+38/1440,1),"HH:MM")</f>
        <v/>
      </c>
      <c r="BC23" s="15">
        <f>TEXT(MOD(TIMEVALUE(BC5)+38/1440,1),"HH:MM")</f>
        <v/>
      </c>
      <c r="BD23" s="15">
        <f>TEXT(MOD(TIMEVALUE(BD5)+38/1440,1),"HH:MM")</f>
        <v/>
      </c>
      <c r="BE23" s="15">
        <f>TEXT(MOD(TIMEVALUE(BE5)+38/1440,1),"HH:MM")</f>
        <v/>
      </c>
      <c r="BF23" s="15">
        <f>TEXT(MOD(TIMEVALUE(BF5)+38/1440,1),"HH:MM")</f>
        <v/>
      </c>
      <c r="BG23" s="15">
        <f>TEXT(MOD(TIMEVALUE(BG5)+38/1440,1),"HH:MM")</f>
        <v/>
      </c>
      <c r="BH23" s="15">
        <f>TEXT(MOD(TIMEVALUE(BH5)+38/1440,1),"HH:MM")</f>
        <v/>
      </c>
      <c r="BI23" s="15">
        <f>TEXT(MOD(TIMEVALUE(BI5)+38/1440,1),"HH:MM")</f>
        <v/>
      </c>
      <c r="BJ23" s="15">
        <f>TEXT(MOD(TIMEVALUE(BJ5)+38/1440,1),"HH:MM")</f>
        <v/>
      </c>
      <c r="BK23" s="15">
        <f>TEXT(MOD(TIMEVALUE(BK5)+38/1440,1),"HH:MM")</f>
        <v/>
      </c>
      <c r="BL23" s="15">
        <f>TEXT(MOD(TIMEVALUE(BL5)+38/1440,1),"HH:MM")</f>
        <v/>
      </c>
      <c r="BM23" s="15">
        <f>TEXT(MOD(TIMEVALUE(BM5)+38/1440,1),"HH:MM")</f>
        <v/>
      </c>
      <c r="BN23" s="15">
        <f>TEXT(MOD(TIMEVALUE(BN5)+38/1440,1),"HH:MM")</f>
        <v/>
      </c>
      <c r="BO23" s="15">
        <f>TEXT(MOD(TIMEVALUE(BO5)+38/1440,1),"HH:MM")</f>
        <v/>
      </c>
      <c r="BP23" s="15">
        <f>TEXT(MOD(TIMEVALUE(BP5)+38/1440,1),"HH:MM")</f>
        <v/>
      </c>
      <c r="BQ23" s="15">
        <f>TEXT(MOD(TIMEVALUE(BQ5)+38/1440,1),"HH:MM")</f>
        <v/>
      </c>
      <c r="BR23" s="15">
        <f>TEXT(MOD(TIMEVALUE(BR5)+38/1440,1),"HH:MM")</f>
        <v/>
      </c>
      <c r="BS23" s="15">
        <f>TEXT(MOD(TIMEVALUE(BS5)+38/1440,1),"HH:MM")</f>
        <v/>
      </c>
      <c r="BT23" s="15">
        <f>TEXT(MOD(TIMEVALUE(BT5)+38/1440,1),"HH:MM")</f>
        <v/>
      </c>
      <c r="BU23" s="15">
        <f>TEXT(MOD(TIMEVALUE(BU5)+38/1440,1),"HH:MM")</f>
        <v/>
      </c>
      <c r="BV23" s="15">
        <f>TEXT(MOD(TIMEVALUE(BV5)+38/1440,1),"HH:MM")</f>
        <v/>
      </c>
      <c r="BW23" s="15">
        <f>TEXT(MOD(TIMEVALUE(BW5)+38/1440,1),"HH:MM")</f>
        <v/>
      </c>
      <c r="BX23" s="15">
        <f>TEXT(MOD(TIMEVALUE(BX5)+38/1440,1),"HH:MM")</f>
        <v/>
      </c>
      <c r="BY23" s="15">
        <f>TEXT(MOD(TIMEVALUE(BY5)+38/1440,1),"HH:MM")</f>
        <v/>
      </c>
      <c r="BZ23" s="15">
        <f>TEXT(MOD(TIMEVALUE(BZ5)+38/1440,1),"HH:MM")</f>
        <v/>
      </c>
      <c r="CA23" s="15">
        <f>TEXT(MOD(TIMEVALUE(CA5)+38/1440,1),"HH:MM")</f>
        <v/>
      </c>
      <c r="CB23" s="15">
        <f>TEXT(MOD(TIMEVALUE(CB5)+38/1440,1),"HH:MM")</f>
        <v/>
      </c>
      <c r="CC23" s="15">
        <f>TEXT(MOD(TIMEVALUE(CC5)+38/1440,1),"HH:MM")</f>
        <v/>
      </c>
      <c r="CD23" s="15">
        <f>TEXT(MOD(TIMEVALUE(CD5)+38/1440,1),"HH:MM")</f>
        <v/>
      </c>
      <c r="CE23" s="15">
        <f>TEXT(MOD(TIMEVALUE(CE5)+38/1440,1),"HH:MM")</f>
        <v/>
      </c>
      <c r="CF23" s="15">
        <f>TEXT(MOD(TIMEVALUE(CF5)+38/1440,1),"HH:MM")</f>
        <v/>
      </c>
      <c r="CG23" s="15">
        <f>TEXT(MOD(TIMEVALUE(CG5)+38/1440,1),"HH:MM")</f>
        <v/>
      </c>
      <c r="CH23" s="15">
        <f>TEXT(MOD(TIMEVALUE(CH5)+38/1440,1),"HH:MM")</f>
        <v/>
      </c>
      <c r="CI23" s="15">
        <f>TEXT(MOD(TIMEVALUE(CI5)+38/1440,1),"HH:MM")</f>
        <v/>
      </c>
      <c r="CJ23" s="15">
        <f>TEXT(MOD(TIMEVALUE(CJ5)+38/1440,1),"HH:MM")</f>
        <v/>
      </c>
      <c r="CK23" s="15">
        <f>TEXT(MOD(TIMEVALUE(CK5)+38/1440,1),"HH:MM")</f>
        <v/>
      </c>
      <c r="CL23" s="15">
        <f>TEXT(MOD(TIMEVALUE(CL5)+38/1440,1),"HH:MM")</f>
        <v/>
      </c>
      <c r="CM23" s="15">
        <f>TEXT(MOD(TIMEVALUE(CM5)+38/1440,1),"HH:MM")</f>
        <v/>
      </c>
      <c r="CN23" s="15">
        <f>TEXT(MOD(TIMEVALUE(CN5)+38/1440,1),"HH:MM")</f>
        <v/>
      </c>
      <c r="CO23" s="15">
        <f>TEXT(MOD(TIMEVALUE(CO5)+38/1440,1),"HH:MM")</f>
        <v/>
      </c>
      <c r="CP23" s="15">
        <f>TEXT(MOD(TIMEVALUE(CP5)+38/1440,1),"HH:MM")</f>
        <v/>
      </c>
    </row>
    <row r="24" ht="16.5" customHeight="1" s="26">
      <c r="A24" s="12" t="inlineStr">
        <is>
          <t>Dr. Fco. Beiró</t>
        </is>
      </c>
      <c r="B24" s="13">
        <f>TEXT(MOD(TIMEVALUE(B5)+39/1440,1),"HH:MM")</f>
        <v/>
      </c>
      <c r="C24" s="13">
        <f>TEXT(MOD(TIMEVALUE(C5)+39/1440,1),"HH:MM")</f>
        <v/>
      </c>
      <c r="D24" s="13">
        <f>TEXT(MOD(TIMEVALUE(D5)+39/1440,1),"HH:MM")</f>
        <v/>
      </c>
      <c r="E24" s="13">
        <f>TEXT(MOD(TIMEVALUE(E5)+39/1440,1),"HH:MM")</f>
        <v/>
      </c>
      <c r="F24" s="13">
        <f>TEXT(MOD(TIMEVALUE(F5)+39/1440,1),"HH:MM")</f>
        <v/>
      </c>
      <c r="G24" s="13">
        <f>TEXT(MOD(TIMEVALUE(G5)+39/1440,1),"HH:MM")</f>
        <v/>
      </c>
      <c r="H24" s="13">
        <f>TEXT(MOD(TIMEVALUE(H5)+39/1440,1),"HH:MM")</f>
        <v/>
      </c>
      <c r="I24" s="13">
        <f>TEXT(MOD(TIMEVALUE(I5)+39/1440,1),"HH:MM")</f>
        <v/>
      </c>
      <c r="J24" s="13">
        <f>TEXT(MOD(TIMEVALUE(J5)+39/1440,1),"HH:MM")</f>
        <v/>
      </c>
      <c r="K24" s="13">
        <f>TEXT(MOD(TIMEVALUE(K5)+39/1440,1),"HH:MM")</f>
        <v/>
      </c>
      <c r="L24" s="13">
        <f>TEXT(MOD(TIMEVALUE(L5)+39/1440,1),"HH:MM")</f>
        <v/>
      </c>
      <c r="M24" s="13">
        <f>TEXT(MOD(TIMEVALUE(M5)+39/1440,1),"HH:MM")</f>
        <v/>
      </c>
      <c r="N24" s="13">
        <f>TEXT(MOD(TIMEVALUE(N5)+39/1440,1),"HH:MM")</f>
        <v/>
      </c>
      <c r="O24" s="13">
        <f>TEXT(MOD(TIMEVALUE(O5)+39/1440,1),"HH:MM")</f>
        <v/>
      </c>
      <c r="P24" s="13">
        <f>TEXT(MOD(TIMEVALUE(P5)+39/1440,1),"HH:MM")</f>
        <v/>
      </c>
      <c r="Q24" s="13">
        <f>TEXT(MOD(TIMEVALUE(Q5)+39/1440,1),"HH:MM")</f>
        <v/>
      </c>
      <c r="R24" s="13">
        <f>TEXT(MOD(TIMEVALUE(R5)+39/1440,1),"HH:MM")</f>
        <v/>
      </c>
      <c r="S24" s="13">
        <f>TEXT(MOD(TIMEVALUE(S5)+39/1440,1),"HH:MM")</f>
        <v/>
      </c>
      <c r="T24" s="13">
        <f>TEXT(MOD(TIMEVALUE(T5)+39/1440,1),"HH:MM")</f>
        <v/>
      </c>
      <c r="U24" s="13">
        <f>TEXT(MOD(TIMEVALUE(U5)+39/1440,1),"HH:MM")</f>
        <v/>
      </c>
      <c r="V24" s="13">
        <f>TEXT(MOD(TIMEVALUE(V5)+39/1440,1),"HH:MM")</f>
        <v/>
      </c>
      <c r="W24" s="13">
        <f>TEXT(MOD(TIMEVALUE(W5)+39/1440,1),"HH:MM")</f>
        <v/>
      </c>
      <c r="X24" s="13">
        <f>TEXT(MOD(TIMEVALUE(X5)+39/1440,1),"HH:MM")</f>
        <v/>
      </c>
      <c r="Y24" s="13">
        <f>TEXT(MOD(TIMEVALUE(Y5)+39/1440,1),"HH:MM")</f>
        <v/>
      </c>
      <c r="Z24" s="13">
        <f>TEXT(MOD(TIMEVALUE(Z5)+39/1440,1),"HH:MM")</f>
        <v/>
      </c>
      <c r="AA24" s="13">
        <f>TEXT(MOD(TIMEVALUE(AA5)+39/1440,1),"HH:MM")</f>
        <v/>
      </c>
      <c r="AB24" s="13">
        <f>TEXT(MOD(TIMEVALUE(AB5)+39/1440,1),"HH:MM")</f>
        <v/>
      </c>
      <c r="AC24" s="13">
        <f>TEXT(MOD(TIMEVALUE(AC5)+39/1440,1),"HH:MM")</f>
        <v/>
      </c>
      <c r="AD24" s="13">
        <f>TEXT(MOD(TIMEVALUE(AD5)+39/1440,1),"HH:MM")</f>
        <v/>
      </c>
      <c r="AE24" s="13">
        <f>TEXT(MOD(TIMEVALUE(AE5)+39/1440,1),"HH:MM")</f>
        <v/>
      </c>
      <c r="AF24" s="13">
        <f>TEXT(MOD(TIMEVALUE(AF5)+39/1440,1),"HH:MM")</f>
        <v/>
      </c>
      <c r="AG24" s="13">
        <f>TEXT(MOD(TIMEVALUE(AG5)+39/1440,1),"HH:MM")</f>
        <v/>
      </c>
      <c r="AH24" s="13">
        <f>TEXT(MOD(TIMEVALUE(AH5)+39/1440,1),"HH:MM")</f>
        <v/>
      </c>
      <c r="AI24" s="13">
        <f>TEXT(MOD(TIMEVALUE(AI5)+39/1440,1),"HH:MM")</f>
        <v/>
      </c>
      <c r="AJ24" s="13">
        <f>TEXT(MOD(TIMEVALUE(AJ5)+39/1440,1),"HH:MM")</f>
        <v/>
      </c>
      <c r="AK24" s="13">
        <f>TEXT(MOD(TIMEVALUE(AK5)+39/1440,1),"HH:MM")</f>
        <v/>
      </c>
      <c r="AL24" s="13">
        <f>TEXT(MOD(TIMEVALUE(AL5)+39/1440,1),"HH:MM")</f>
        <v/>
      </c>
      <c r="AM24" s="13">
        <f>TEXT(MOD(TIMEVALUE(AM5)+39/1440,1),"HH:MM")</f>
        <v/>
      </c>
      <c r="AN24" s="13">
        <f>TEXT(MOD(TIMEVALUE(AN5)+39/1440,1),"HH:MM")</f>
        <v/>
      </c>
      <c r="AO24" s="13">
        <f>TEXT(MOD(TIMEVALUE(AO5)+39/1440,1),"HH:MM")</f>
        <v/>
      </c>
      <c r="AP24" s="13">
        <f>TEXT(MOD(TIMEVALUE(AP5)+39/1440,1),"HH:MM")</f>
        <v/>
      </c>
      <c r="AQ24" s="13">
        <f>TEXT(MOD(TIMEVALUE(AQ5)+39/1440,1),"HH:MM")</f>
        <v/>
      </c>
      <c r="AR24" s="13">
        <f>TEXT(MOD(TIMEVALUE(AR5)+39/1440,1),"HH:MM")</f>
        <v/>
      </c>
      <c r="AS24" s="13">
        <f>TEXT(MOD(TIMEVALUE(AS5)+39/1440,1),"HH:MM")</f>
        <v/>
      </c>
      <c r="AT24" s="13">
        <f>TEXT(MOD(TIMEVALUE(AT5)+39/1440,1),"HH:MM")</f>
        <v/>
      </c>
      <c r="AU24" s="13">
        <f>TEXT(MOD(TIMEVALUE(AU5)+39/1440,1),"HH:MM")</f>
        <v/>
      </c>
      <c r="AV24" s="13">
        <f>TEXT(MOD(TIMEVALUE(AV5)+39/1440,1),"HH:MM")</f>
        <v/>
      </c>
      <c r="AW24" s="13">
        <f>TEXT(MOD(TIMEVALUE(AW5)+39/1440,1),"HH:MM")</f>
        <v/>
      </c>
      <c r="AX24" s="13">
        <f>TEXT(MOD(TIMEVALUE(AX5)+39/1440,1),"HH:MM")</f>
        <v/>
      </c>
      <c r="AY24" s="13">
        <f>TEXT(MOD(TIMEVALUE(AY5)+39/1440,1),"HH:MM")</f>
        <v/>
      </c>
      <c r="AZ24" s="13">
        <f>TEXT(MOD(TIMEVALUE(AZ5)+39/1440,1),"HH:MM")</f>
        <v/>
      </c>
      <c r="BA24" s="13">
        <f>TEXT(MOD(TIMEVALUE(BA5)+39/1440,1),"HH:MM")</f>
        <v/>
      </c>
      <c r="BB24" s="13">
        <f>TEXT(MOD(TIMEVALUE(BB5)+39/1440,1),"HH:MM")</f>
        <v/>
      </c>
      <c r="BC24" s="13">
        <f>TEXT(MOD(TIMEVALUE(BC5)+39/1440,1),"HH:MM")</f>
        <v/>
      </c>
      <c r="BD24" s="13">
        <f>TEXT(MOD(TIMEVALUE(BD5)+39/1440,1),"HH:MM")</f>
        <v/>
      </c>
      <c r="BE24" s="13">
        <f>TEXT(MOD(TIMEVALUE(BE5)+39/1440,1),"HH:MM")</f>
        <v/>
      </c>
      <c r="BF24" s="13">
        <f>TEXT(MOD(TIMEVALUE(BF5)+39/1440,1),"HH:MM")</f>
        <v/>
      </c>
      <c r="BG24" s="13">
        <f>TEXT(MOD(TIMEVALUE(BG5)+39/1440,1),"HH:MM")</f>
        <v/>
      </c>
      <c r="BH24" s="13">
        <f>TEXT(MOD(TIMEVALUE(BH5)+39/1440,1),"HH:MM")</f>
        <v/>
      </c>
      <c r="BI24" s="13">
        <f>TEXT(MOD(TIMEVALUE(BI5)+39/1440,1),"HH:MM")</f>
        <v/>
      </c>
      <c r="BJ24" s="13">
        <f>TEXT(MOD(TIMEVALUE(BJ5)+39/1440,1),"HH:MM")</f>
        <v/>
      </c>
      <c r="BK24" s="13">
        <f>TEXT(MOD(TIMEVALUE(BK5)+39/1440,1),"HH:MM")</f>
        <v/>
      </c>
      <c r="BL24" s="13">
        <f>TEXT(MOD(TIMEVALUE(BL5)+39/1440,1),"HH:MM")</f>
        <v/>
      </c>
      <c r="BM24" s="13">
        <f>TEXT(MOD(TIMEVALUE(BM5)+39/1440,1),"HH:MM")</f>
        <v/>
      </c>
      <c r="BN24" s="13">
        <f>TEXT(MOD(TIMEVALUE(BN5)+39/1440,1),"HH:MM")</f>
        <v/>
      </c>
      <c r="BO24" s="13">
        <f>TEXT(MOD(TIMEVALUE(BO5)+39/1440,1),"HH:MM")</f>
        <v/>
      </c>
      <c r="BP24" s="13">
        <f>TEXT(MOD(TIMEVALUE(BP5)+39/1440,1),"HH:MM")</f>
        <v/>
      </c>
      <c r="BQ24" s="13">
        <f>TEXT(MOD(TIMEVALUE(BQ5)+39/1440,1),"HH:MM")</f>
        <v/>
      </c>
      <c r="BR24" s="13">
        <f>TEXT(MOD(TIMEVALUE(BR5)+39/1440,1),"HH:MM")</f>
        <v/>
      </c>
      <c r="BS24" s="13">
        <f>TEXT(MOD(TIMEVALUE(BS5)+39/1440,1),"HH:MM")</f>
        <v/>
      </c>
      <c r="BT24" s="13">
        <f>TEXT(MOD(TIMEVALUE(BT5)+39/1440,1),"HH:MM")</f>
        <v/>
      </c>
      <c r="BU24" s="13">
        <f>TEXT(MOD(TIMEVALUE(BU5)+39/1440,1),"HH:MM")</f>
        <v/>
      </c>
      <c r="BV24" s="13">
        <f>TEXT(MOD(TIMEVALUE(BV5)+39/1440,1),"HH:MM")</f>
        <v/>
      </c>
      <c r="BW24" s="13">
        <f>TEXT(MOD(TIMEVALUE(BW5)+39/1440,1),"HH:MM")</f>
        <v/>
      </c>
      <c r="BX24" s="13">
        <f>TEXT(MOD(TIMEVALUE(BX5)+39/1440,1),"HH:MM")</f>
        <v/>
      </c>
      <c r="BY24" s="13">
        <f>TEXT(MOD(TIMEVALUE(BY5)+39/1440,1),"HH:MM")</f>
        <v/>
      </c>
      <c r="BZ24" s="13">
        <f>TEXT(MOD(TIMEVALUE(BZ5)+39/1440,1),"HH:MM")</f>
        <v/>
      </c>
      <c r="CA24" s="13">
        <f>TEXT(MOD(TIMEVALUE(CA5)+39/1440,1),"HH:MM")</f>
        <v/>
      </c>
      <c r="CB24" s="13">
        <f>TEXT(MOD(TIMEVALUE(CB5)+39/1440,1),"HH:MM")</f>
        <v/>
      </c>
      <c r="CC24" s="13">
        <f>TEXT(MOD(TIMEVALUE(CC5)+39/1440,1),"HH:MM")</f>
        <v/>
      </c>
      <c r="CD24" s="13">
        <f>TEXT(MOD(TIMEVALUE(CD5)+39/1440,1),"HH:MM")</f>
        <v/>
      </c>
      <c r="CE24" s="13">
        <f>TEXT(MOD(TIMEVALUE(CE5)+39/1440,1),"HH:MM")</f>
        <v/>
      </c>
      <c r="CF24" s="13">
        <f>TEXT(MOD(TIMEVALUE(CF5)+39/1440,1),"HH:MM")</f>
        <v/>
      </c>
      <c r="CG24" s="13">
        <f>TEXT(MOD(TIMEVALUE(CG5)+39/1440,1),"HH:MM")</f>
        <v/>
      </c>
      <c r="CH24" s="13">
        <f>TEXT(MOD(TIMEVALUE(CH5)+39/1440,1),"HH:MM")</f>
        <v/>
      </c>
      <c r="CI24" s="13">
        <f>TEXT(MOD(TIMEVALUE(CI5)+39/1440,1),"HH:MM")</f>
        <v/>
      </c>
      <c r="CJ24" s="13">
        <f>TEXT(MOD(TIMEVALUE(CJ5)+39/1440,1),"HH:MM")</f>
        <v/>
      </c>
      <c r="CK24" s="13">
        <f>TEXT(MOD(TIMEVALUE(CK5)+39/1440,1),"HH:MM")</f>
        <v/>
      </c>
      <c r="CL24" s="13">
        <f>TEXT(MOD(TIMEVALUE(CL5)+39/1440,1),"HH:MM")</f>
        <v/>
      </c>
      <c r="CM24" s="13">
        <f>TEXT(MOD(TIMEVALUE(CM5)+39/1440,1),"HH:MM")</f>
        <v/>
      </c>
      <c r="CN24" s="13">
        <f>TEXT(MOD(TIMEVALUE(CN5)+39/1440,1),"HH:MM")</f>
        <v/>
      </c>
      <c r="CO24" s="13">
        <f>TEXT(MOD(TIMEVALUE(CO5)+39/1440,1),"HH:MM")</f>
        <v/>
      </c>
      <c r="CP24" s="13">
        <f>TEXT(MOD(TIMEVALUE(CP5)+39/1440,1),"HH:MM")</f>
        <v/>
      </c>
    </row>
    <row r="25" ht="16.5" customHeight="1" s="26">
      <c r="A25" s="14" t="inlineStr">
        <is>
          <t>Pedro N. Arata</t>
        </is>
      </c>
      <c r="B25" s="15">
        <f>TEXT(MOD(TIMEVALUE(B5)+42/1440,1),"HH:MM")</f>
        <v/>
      </c>
      <c r="C25" s="15">
        <f>TEXT(MOD(TIMEVALUE(C5)+42/1440,1),"HH:MM")</f>
        <v/>
      </c>
      <c r="D25" s="15">
        <f>TEXT(MOD(TIMEVALUE(D5)+42/1440,1),"HH:MM")</f>
        <v/>
      </c>
      <c r="E25" s="15">
        <f>TEXT(MOD(TIMEVALUE(E5)+42/1440,1),"HH:MM")</f>
        <v/>
      </c>
      <c r="F25" s="15">
        <f>TEXT(MOD(TIMEVALUE(F5)+42/1440,1),"HH:MM")</f>
        <v/>
      </c>
      <c r="G25" s="15">
        <f>TEXT(MOD(TIMEVALUE(G5)+42/1440,1),"HH:MM")</f>
        <v/>
      </c>
      <c r="H25" s="15">
        <f>TEXT(MOD(TIMEVALUE(H5)+42/1440,1),"HH:MM")</f>
        <v/>
      </c>
      <c r="I25" s="15">
        <f>TEXT(MOD(TIMEVALUE(I5)+42/1440,1),"HH:MM")</f>
        <v/>
      </c>
      <c r="J25" s="15">
        <f>TEXT(MOD(TIMEVALUE(J5)+42/1440,1),"HH:MM")</f>
        <v/>
      </c>
      <c r="K25" s="15">
        <f>TEXT(MOD(TIMEVALUE(K5)+42/1440,1),"HH:MM")</f>
        <v/>
      </c>
      <c r="L25" s="15">
        <f>TEXT(MOD(TIMEVALUE(L5)+42/1440,1),"HH:MM")</f>
        <v/>
      </c>
      <c r="M25" s="15">
        <f>TEXT(MOD(TIMEVALUE(M5)+42/1440,1),"HH:MM")</f>
        <v/>
      </c>
      <c r="N25" s="15">
        <f>TEXT(MOD(TIMEVALUE(N5)+42/1440,1),"HH:MM")</f>
        <v/>
      </c>
      <c r="O25" s="15">
        <f>TEXT(MOD(TIMEVALUE(O5)+42/1440,1),"HH:MM")</f>
        <v/>
      </c>
      <c r="P25" s="15">
        <f>TEXT(MOD(TIMEVALUE(P5)+42/1440,1),"HH:MM")</f>
        <v/>
      </c>
      <c r="Q25" s="15">
        <f>TEXT(MOD(TIMEVALUE(Q5)+42/1440,1),"HH:MM")</f>
        <v/>
      </c>
      <c r="R25" s="15">
        <f>TEXT(MOD(TIMEVALUE(R5)+42/1440,1),"HH:MM")</f>
        <v/>
      </c>
      <c r="S25" s="15">
        <f>TEXT(MOD(TIMEVALUE(S5)+42/1440,1),"HH:MM")</f>
        <v/>
      </c>
      <c r="T25" s="15">
        <f>TEXT(MOD(TIMEVALUE(T5)+42/1440,1),"HH:MM")</f>
        <v/>
      </c>
      <c r="U25" s="15">
        <f>TEXT(MOD(TIMEVALUE(U5)+42/1440,1),"HH:MM")</f>
        <v/>
      </c>
      <c r="V25" s="15">
        <f>TEXT(MOD(TIMEVALUE(V5)+42/1440,1),"HH:MM")</f>
        <v/>
      </c>
      <c r="W25" s="15">
        <f>TEXT(MOD(TIMEVALUE(W5)+42/1440,1),"HH:MM")</f>
        <v/>
      </c>
      <c r="X25" s="15">
        <f>TEXT(MOD(TIMEVALUE(X5)+42/1440,1),"HH:MM")</f>
        <v/>
      </c>
      <c r="Y25" s="15">
        <f>TEXT(MOD(TIMEVALUE(Y5)+42/1440,1),"HH:MM")</f>
        <v/>
      </c>
      <c r="Z25" s="15">
        <f>TEXT(MOD(TIMEVALUE(Z5)+42/1440,1),"HH:MM")</f>
        <v/>
      </c>
      <c r="AA25" s="15">
        <f>TEXT(MOD(TIMEVALUE(AA5)+42/1440,1),"HH:MM")</f>
        <v/>
      </c>
      <c r="AB25" s="15">
        <f>TEXT(MOD(TIMEVALUE(AB5)+42/1440,1),"HH:MM")</f>
        <v/>
      </c>
      <c r="AC25" s="15">
        <f>TEXT(MOD(TIMEVALUE(AC5)+42/1440,1),"HH:MM")</f>
        <v/>
      </c>
      <c r="AD25" s="15">
        <f>TEXT(MOD(TIMEVALUE(AD5)+42/1440,1),"HH:MM")</f>
        <v/>
      </c>
      <c r="AE25" s="15">
        <f>TEXT(MOD(TIMEVALUE(AE5)+42/1440,1),"HH:MM")</f>
        <v/>
      </c>
      <c r="AF25" s="15">
        <f>TEXT(MOD(TIMEVALUE(AF5)+42/1440,1),"HH:MM")</f>
        <v/>
      </c>
      <c r="AG25" s="15">
        <f>TEXT(MOD(TIMEVALUE(AG5)+42/1440,1),"HH:MM")</f>
        <v/>
      </c>
      <c r="AH25" s="15">
        <f>TEXT(MOD(TIMEVALUE(AH5)+42/1440,1),"HH:MM")</f>
        <v/>
      </c>
      <c r="AI25" s="15">
        <f>TEXT(MOD(TIMEVALUE(AI5)+42/1440,1),"HH:MM")</f>
        <v/>
      </c>
      <c r="AJ25" s="15">
        <f>TEXT(MOD(TIMEVALUE(AJ5)+42/1440,1),"HH:MM")</f>
        <v/>
      </c>
      <c r="AK25" s="15">
        <f>TEXT(MOD(TIMEVALUE(AK5)+42/1440,1),"HH:MM")</f>
        <v/>
      </c>
      <c r="AL25" s="15">
        <f>TEXT(MOD(TIMEVALUE(AL5)+42/1440,1),"HH:MM")</f>
        <v/>
      </c>
      <c r="AM25" s="15">
        <f>TEXT(MOD(TIMEVALUE(AM5)+42/1440,1),"HH:MM")</f>
        <v/>
      </c>
      <c r="AN25" s="15">
        <f>TEXT(MOD(TIMEVALUE(AN5)+42/1440,1),"HH:MM")</f>
        <v/>
      </c>
      <c r="AO25" s="15">
        <f>TEXT(MOD(TIMEVALUE(AO5)+42/1440,1),"HH:MM")</f>
        <v/>
      </c>
      <c r="AP25" s="15">
        <f>TEXT(MOD(TIMEVALUE(AP5)+42/1440,1),"HH:MM")</f>
        <v/>
      </c>
      <c r="AQ25" s="15">
        <f>TEXT(MOD(TIMEVALUE(AQ5)+42/1440,1),"HH:MM")</f>
        <v/>
      </c>
      <c r="AR25" s="15">
        <f>TEXT(MOD(TIMEVALUE(AR5)+42/1440,1),"HH:MM")</f>
        <v/>
      </c>
      <c r="AS25" s="15">
        <f>TEXT(MOD(TIMEVALUE(AS5)+42/1440,1),"HH:MM")</f>
        <v/>
      </c>
      <c r="AT25" s="15">
        <f>TEXT(MOD(TIMEVALUE(AT5)+42/1440,1),"HH:MM")</f>
        <v/>
      </c>
      <c r="AU25" s="15">
        <f>TEXT(MOD(TIMEVALUE(AU5)+42/1440,1),"HH:MM")</f>
        <v/>
      </c>
      <c r="AV25" s="15">
        <f>TEXT(MOD(TIMEVALUE(AV5)+42/1440,1),"HH:MM")</f>
        <v/>
      </c>
      <c r="AW25" s="15">
        <f>TEXT(MOD(TIMEVALUE(AW5)+42/1440,1),"HH:MM")</f>
        <v/>
      </c>
      <c r="AX25" s="15">
        <f>TEXT(MOD(TIMEVALUE(AX5)+42/1440,1),"HH:MM")</f>
        <v/>
      </c>
      <c r="AY25" s="15">
        <f>TEXT(MOD(TIMEVALUE(AY5)+42/1440,1),"HH:MM")</f>
        <v/>
      </c>
      <c r="AZ25" s="15">
        <f>TEXT(MOD(TIMEVALUE(AZ5)+42/1440,1),"HH:MM")</f>
        <v/>
      </c>
      <c r="BA25" s="15">
        <f>TEXT(MOD(TIMEVALUE(BA5)+42/1440,1),"HH:MM")</f>
        <v/>
      </c>
      <c r="BB25" s="15">
        <f>TEXT(MOD(TIMEVALUE(BB5)+42/1440,1),"HH:MM")</f>
        <v/>
      </c>
      <c r="BC25" s="15">
        <f>TEXT(MOD(TIMEVALUE(BC5)+42/1440,1),"HH:MM")</f>
        <v/>
      </c>
      <c r="BD25" s="15">
        <f>TEXT(MOD(TIMEVALUE(BD5)+42/1440,1),"HH:MM")</f>
        <v/>
      </c>
      <c r="BE25" s="15">
        <f>TEXT(MOD(TIMEVALUE(BE5)+42/1440,1),"HH:MM")</f>
        <v/>
      </c>
      <c r="BF25" s="15">
        <f>TEXT(MOD(TIMEVALUE(BF5)+42/1440,1),"HH:MM")</f>
        <v/>
      </c>
      <c r="BG25" s="15">
        <f>TEXT(MOD(TIMEVALUE(BG5)+42/1440,1),"HH:MM")</f>
        <v/>
      </c>
      <c r="BH25" s="15">
        <f>TEXT(MOD(TIMEVALUE(BH5)+42/1440,1),"HH:MM")</f>
        <v/>
      </c>
      <c r="BI25" s="15">
        <f>TEXT(MOD(TIMEVALUE(BI5)+42/1440,1),"HH:MM")</f>
        <v/>
      </c>
      <c r="BJ25" s="15">
        <f>TEXT(MOD(TIMEVALUE(BJ5)+42/1440,1),"HH:MM")</f>
        <v/>
      </c>
      <c r="BK25" s="15">
        <f>TEXT(MOD(TIMEVALUE(BK5)+42/1440,1),"HH:MM")</f>
        <v/>
      </c>
      <c r="BL25" s="15">
        <f>TEXT(MOD(TIMEVALUE(BL5)+42/1440,1),"HH:MM")</f>
        <v/>
      </c>
      <c r="BM25" s="15">
        <f>TEXT(MOD(TIMEVALUE(BM5)+42/1440,1),"HH:MM")</f>
        <v/>
      </c>
      <c r="BN25" s="15">
        <f>TEXT(MOD(TIMEVALUE(BN5)+42/1440,1),"HH:MM")</f>
        <v/>
      </c>
      <c r="BO25" s="15">
        <f>TEXT(MOD(TIMEVALUE(BO5)+42/1440,1),"HH:MM")</f>
        <v/>
      </c>
      <c r="BP25" s="15">
        <f>TEXT(MOD(TIMEVALUE(BP5)+42/1440,1),"HH:MM")</f>
        <v/>
      </c>
      <c r="BQ25" s="15">
        <f>TEXT(MOD(TIMEVALUE(BQ5)+42/1440,1),"HH:MM")</f>
        <v/>
      </c>
      <c r="BR25" s="15">
        <f>TEXT(MOD(TIMEVALUE(BR5)+42/1440,1),"HH:MM")</f>
        <v/>
      </c>
      <c r="BS25" s="15">
        <f>TEXT(MOD(TIMEVALUE(BS5)+42/1440,1),"HH:MM")</f>
        <v/>
      </c>
      <c r="BT25" s="15">
        <f>TEXT(MOD(TIMEVALUE(BT5)+42/1440,1),"HH:MM")</f>
        <v/>
      </c>
      <c r="BU25" s="15">
        <f>TEXT(MOD(TIMEVALUE(BU5)+42/1440,1),"HH:MM")</f>
        <v/>
      </c>
      <c r="BV25" s="15">
        <f>TEXT(MOD(TIMEVALUE(BV5)+42/1440,1),"HH:MM")</f>
        <v/>
      </c>
      <c r="BW25" s="15">
        <f>TEXT(MOD(TIMEVALUE(BW5)+42/1440,1),"HH:MM")</f>
        <v/>
      </c>
      <c r="BX25" s="15">
        <f>TEXT(MOD(TIMEVALUE(BX5)+42/1440,1),"HH:MM")</f>
        <v/>
      </c>
      <c r="BY25" s="15">
        <f>TEXT(MOD(TIMEVALUE(BY5)+42/1440,1),"HH:MM")</f>
        <v/>
      </c>
      <c r="BZ25" s="15">
        <f>TEXT(MOD(TIMEVALUE(BZ5)+42/1440,1),"HH:MM")</f>
        <v/>
      </c>
      <c r="CA25" s="15">
        <f>TEXT(MOD(TIMEVALUE(CA5)+42/1440,1),"HH:MM")</f>
        <v/>
      </c>
      <c r="CB25" s="15">
        <f>TEXT(MOD(TIMEVALUE(CB5)+42/1440,1),"HH:MM")</f>
        <v/>
      </c>
      <c r="CC25" s="15">
        <f>TEXT(MOD(TIMEVALUE(CC5)+42/1440,1),"HH:MM")</f>
        <v/>
      </c>
      <c r="CD25" s="15">
        <f>TEXT(MOD(TIMEVALUE(CD5)+42/1440,1),"HH:MM")</f>
        <v/>
      </c>
      <c r="CE25" s="15">
        <f>TEXT(MOD(TIMEVALUE(CE5)+42/1440,1),"HH:MM")</f>
        <v/>
      </c>
      <c r="CF25" s="15">
        <f>TEXT(MOD(TIMEVALUE(CF5)+42/1440,1),"HH:MM")</f>
        <v/>
      </c>
      <c r="CG25" s="15">
        <f>TEXT(MOD(TIMEVALUE(CG5)+42/1440,1),"HH:MM")</f>
        <v/>
      </c>
      <c r="CH25" s="15">
        <f>TEXT(MOD(TIMEVALUE(CH5)+42/1440,1),"HH:MM")</f>
        <v/>
      </c>
      <c r="CI25" s="15">
        <f>TEXT(MOD(TIMEVALUE(CI5)+42/1440,1),"HH:MM")</f>
        <v/>
      </c>
      <c r="CJ25" s="15">
        <f>TEXT(MOD(TIMEVALUE(CJ5)+42/1440,1),"HH:MM")</f>
        <v/>
      </c>
      <c r="CK25" s="15">
        <f>TEXT(MOD(TIMEVALUE(CK5)+42/1440,1),"HH:MM")</f>
        <v/>
      </c>
      <c r="CL25" s="15">
        <f>TEXT(MOD(TIMEVALUE(CL5)+42/1440,1),"HH:MM")</f>
        <v/>
      </c>
      <c r="CM25" s="15">
        <f>TEXT(MOD(TIMEVALUE(CM5)+42/1440,1),"HH:MM")</f>
        <v/>
      </c>
      <c r="CN25" s="15">
        <f>TEXT(MOD(TIMEVALUE(CN5)+42/1440,1),"HH:MM")</f>
        <v/>
      </c>
      <c r="CO25" s="15">
        <f>TEXT(MOD(TIMEVALUE(CO5)+42/1440,1),"HH:MM")</f>
        <v/>
      </c>
      <c r="CP25" s="15">
        <f>TEXT(MOD(TIMEVALUE(CP5)+42/1440,1),"HH:MM")</f>
        <v/>
      </c>
    </row>
    <row r="26" ht="16.5" customHeight="1" s="26">
      <c r="A26" s="12" t="inlineStr">
        <is>
          <t>José Artigas</t>
        </is>
      </c>
      <c r="B26" s="13">
        <f>TEXT(MOD(TIMEVALUE(B5)+44/1440,1),"HH:MM")</f>
        <v/>
      </c>
      <c r="C26" s="13">
        <f>TEXT(MOD(TIMEVALUE(C5)+44/1440,1),"HH:MM")</f>
        <v/>
      </c>
      <c r="D26" s="13">
        <f>TEXT(MOD(TIMEVALUE(D5)+44/1440,1),"HH:MM")</f>
        <v/>
      </c>
      <c r="E26" s="13">
        <f>TEXT(MOD(TIMEVALUE(E5)+44/1440,1),"HH:MM")</f>
        <v/>
      </c>
      <c r="F26" s="13">
        <f>TEXT(MOD(TIMEVALUE(F5)+44/1440,1),"HH:MM")</f>
        <v/>
      </c>
      <c r="G26" s="13">
        <f>TEXT(MOD(TIMEVALUE(G5)+44/1440,1),"HH:MM")</f>
        <v/>
      </c>
      <c r="H26" s="13">
        <f>TEXT(MOD(TIMEVALUE(H5)+44/1440,1),"HH:MM")</f>
        <v/>
      </c>
      <c r="I26" s="13">
        <f>TEXT(MOD(TIMEVALUE(I5)+44/1440,1),"HH:MM")</f>
        <v/>
      </c>
      <c r="J26" s="13">
        <f>TEXT(MOD(TIMEVALUE(J5)+44/1440,1),"HH:MM")</f>
        <v/>
      </c>
      <c r="K26" s="13">
        <f>TEXT(MOD(TIMEVALUE(K5)+44/1440,1),"HH:MM")</f>
        <v/>
      </c>
      <c r="L26" s="13">
        <f>TEXT(MOD(TIMEVALUE(L5)+44/1440,1),"HH:MM")</f>
        <v/>
      </c>
      <c r="M26" s="13">
        <f>TEXT(MOD(TIMEVALUE(M5)+44/1440,1),"HH:MM")</f>
        <v/>
      </c>
      <c r="N26" s="13">
        <f>TEXT(MOD(TIMEVALUE(N5)+44/1440,1),"HH:MM")</f>
        <v/>
      </c>
      <c r="O26" s="13">
        <f>TEXT(MOD(TIMEVALUE(O5)+44/1440,1),"HH:MM")</f>
        <v/>
      </c>
      <c r="P26" s="13">
        <f>TEXT(MOD(TIMEVALUE(P5)+44/1440,1),"HH:MM")</f>
        <v/>
      </c>
      <c r="Q26" s="13">
        <f>TEXT(MOD(TIMEVALUE(Q5)+44/1440,1),"HH:MM")</f>
        <v/>
      </c>
      <c r="R26" s="13">
        <f>TEXT(MOD(TIMEVALUE(R5)+44/1440,1),"HH:MM")</f>
        <v/>
      </c>
      <c r="S26" s="13">
        <f>TEXT(MOD(TIMEVALUE(S5)+44/1440,1),"HH:MM")</f>
        <v/>
      </c>
      <c r="T26" s="13">
        <f>TEXT(MOD(TIMEVALUE(T5)+44/1440,1),"HH:MM")</f>
        <v/>
      </c>
      <c r="U26" s="13">
        <f>TEXT(MOD(TIMEVALUE(U5)+44/1440,1),"HH:MM")</f>
        <v/>
      </c>
      <c r="V26" s="13">
        <f>TEXT(MOD(TIMEVALUE(V5)+44/1440,1),"HH:MM")</f>
        <v/>
      </c>
      <c r="W26" s="13">
        <f>TEXT(MOD(TIMEVALUE(W5)+44/1440,1),"HH:MM")</f>
        <v/>
      </c>
      <c r="X26" s="13">
        <f>TEXT(MOD(TIMEVALUE(X5)+44/1440,1),"HH:MM")</f>
        <v/>
      </c>
      <c r="Y26" s="13">
        <f>TEXT(MOD(TIMEVALUE(Y5)+44/1440,1),"HH:MM")</f>
        <v/>
      </c>
      <c r="Z26" s="13">
        <f>TEXT(MOD(TIMEVALUE(Z5)+44/1440,1),"HH:MM")</f>
        <v/>
      </c>
      <c r="AA26" s="13">
        <f>TEXT(MOD(TIMEVALUE(AA5)+44/1440,1),"HH:MM")</f>
        <v/>
      </c>
      <c r="AB26" s="13">
        <f>TEXT(MOD(TIMEVALUE(AB5)+44/1440,1),"HH:MM")</f>
        <v/>
      </c>
      <c r="AC26" s="13">
        <f>TEXT(MOD(TIMEVALUE(AC5)+44/1440,1),"HH:MM")</f>
        <v/>
      </c>
      <c r="AD26" s="13">
        <f>TEXT(MOD(TIMEVALUE(AD5)+44/1440,1),"HH:MM")</f>
        <v/>
      </c>
      <c r="AE26" s="13">
        <f>TEXT(MOD(TIMEVALUE(AE5)+44/1440,1),"HH:MM")</f>
        <v/>
      </c>
      <c r="AF26" s="13">
        <f>TEXT(MOD(TIMEVALUE(AF5)+44/1440,1),"HH:MM")</f>
        <v/>
      </c>
      <c r="AG26" s="13">
        <f>TEXT(MOD(TIMEVALUE(AG5)+44/1440,1),"HH:MM")</f>
        <v/>
      </c>
      <c r="AH26" s="13">
        <f>TEXT(MOD(TIMEVALUE(AH5)+44/1440,1),"HH:MM")</f>
        <v/>
      </c>
      <c r="AI26" s="13">
        <f>TEXT(MOD(TIMEVALUE(AI5)+44/1440,1),"HH:MM")</f>
        <v/>
      </c>
      <c r="AJ26" s="13">
        <f>TEXT(MOD(TIMEVALUE(AJ5)+44/1440,1),"HH:MM")</f>
        <v/>
      </c>
      <c r="AK26" s="13">
        <f>TEXT(MOD(TIMEVALUE(AK5)+44/1440,1),"HH:MM")</f>
        <v/>
      </c>
      <c r="AL26" s="13">
        <f>TEXT(MOD(TIMEVALUE(AL5)+44/1440,1),"HH:MM")</f>
        <v/>
      </c>
      <c r="AM26" s="13">
        <f>TEXT(MOD(TIMEVALUE(AM5)+44/1440,1),"HH:MM")</f>
        <v/>
      </c>
      <c r="AN26" s="13">
        <f>TEXT(MOD(TIMEVALUE(AN5)+44/1440,1),"HH:MM")</f>
        <v/>
      </c>
      <c r="AO26" s="13">
        <f>TEXT(MOD(TIMEVALUE(AO5)+44/1440,1),"HH:MM")</f>
        <v/>
      </c>
      <c r="AP26" s="13">
        <f>TEXT(MOD(TIMEVALUE(AP5)+44/1440,1),"HH:MM")</f>
        <v/>
      </c>
      <c r="AQ26" s="13">
        <f>TEXT(MOD(TIMEVALUE(AQ5)+44/1440,1),"HH:MM")</f>
        <v/>
      </c>
      <c r="AR26" s="13">
        <f>TEXT(MOD(TIMEVALUE(AR5)+44/1440,1),"HH:MM")</f>
        <v/>
      </c>
      <c r="AS26" s="13">
        <f>TEXT(MOD(TIMEVALUE(AS5)+44/1440,1),"HH:MM")</f>
        <v/>
      </c>
      <c r="AT26" s="13">
        <f>TEXT(MOD(TIMEVALUE(AT5)+44/1440,1),"HH:MM")</f>
        <v/>
      </c>
      <c r="AU26" s="13">
        <f>TEXT(MOD(TIMEVALUE(AU5)+44/1440,1),"HH:MM")</f>
        <v/>
      </c>
      <c r="AV26" s="13">
        <f>TEXT(MOD(TIMEVALUE(AV5)+44/1440,1),"HH:MM")</f>
        <v/>
      </c>
      <c r="AW26" s="13">
        <f>TEXT(MOD(TIMEVALUE(AW5)+44/1440,1),"HH:MM")</f>
        <v/>
      </c>
      <c r="AX26" s="13">
        <f>TEXT(MOD(TIMEVALUE(AX5)+44/1440,1),"HH:MM")</f>
        <v/>
      </c>
      <c r="AY26" s="13">
        <f>TEXT(MOD(TIMEVALUE(AY5)+44/1440,1),"HH:MM")</f>
        <v/>
      </c>
      <c r="AZ26" s="13">
        <f>TEXT(MOD(TIMEVALUE(AZ5)+44/1440,1),"HH:MM")</f>
        <v/>
      </c>
      <c r="BA26" s="13">
        <f>TEXT(MOD(TIMEVALUE(BA5)+44/1440,1),"HH:MM")</f>
        <v/>
      </c>
      <c r="BB26" s="13">
        <f>TEXT(MOD(TIMEVALUE(BB5)+44/1440,1),"HH:MM")</f>
        <v/>
      </c>
      <c r="BC26" s="13">
        <f>TEXT(MOD(TIMEVALUE(BC5)+44/1440,1),"HH:MM")</f>
        <v/>
      </c>
      <c r="BD26" s="13">
        <f>TEXT(MOD(TIMEVALUE(BD5)+44/1440,1),"HH:MM")</f>
        <v/>
      </c>
      <c r="BE26" s="13">
        <f>TEXT(MOD(TIMEVALUE(BE5)+44/1440,1),"HH:MM")</f>
        <v/>
      </c>
      <c r="BF26" s="13">
        <f>TEXT(MOD(TIMEVALUE(BF5)+44/1440,1),"HH:MM")</f>
        <v/>
      </c>
      <c r="BG26" s="13">
        <f>TEXT(MOD(TIMEVALUE(BG5)+44/1440,1),"HH:MM")</f>
        <v/>
      </c>
      <c r="BH26" s="13">
        <f>TEXT(MOD(TIMEVALUE(BH5)+44/1440,1),"HH:MM")</f>
        <v/>
      </c>
      <c r="BI26" s="13">
        <f>TEXT(MOD(TIMEVALUE(BI5)+44/1440,1),"HH:MM")</f>
        <v/>
      </c>
      <c r="BJ26" s="13">
        <f>TEXT(MOD(TIMEVALUE(BJ5)+44/1440,1),"HH:MM")</f>
        <v/>
      </c>
      <c r="BK26" s="13">
        <f>TEXT(MOD(TIMEVALUE(BK5)+44/1440,1),"HH:MM")</f>
        <v/>
      </c>
      <c r="BL26" s="13">
        <f>TEXT(MOD(TIMEVALUE(BL5)+44/1440,1),"HH:MM")</f>
        <v/>
      </c>
      <c r="BM26" s="13">
        <f>TEXT(MOD(TIMEVALUE(BM5)+44/1440,1),"HH:MM")</f>
        <v/>
      </c>
      <c r="BN26" s="13">
        <f>TEXT(MOD(TIMEVALUE(BN5)+44/1440,1),"HH:MM")</f>
        <v/>
      </c>
      <c r="BO26" s="13">
        <f>TEXT(MOD(TIMEVALUE(BO5)+44/1440,1),"HH:MM")</f>
        <v/>
      </c>
      <c r="BP26" s="13">
        <f>TEXT(MOD(TIMEVALUE(BP5)+44/1440,1),"HH:MM")</f>
        <v/>
      </c>
      <c r="BQ26" s="13">
        <f>TEXT(MOD(TIMEVALUE(BQ5)+44/1440,1),"HH:MM")</f>
        <v/>
      </c>
      <c r="BR26" s="13">
        <f>TEXT(MOD(TIMEVALUE(BR5)+44/1440,1),"HH:MM")</f>
        <v/>
      </c>
      <c r="BS26" s="13">
        <f>TEXT(MOD(TIMEVALUE(BS5)+44/1440,1),"HH:MM")</f>
        <v/>
      </c>
      <c r="BT26" s="13">
        <f>TEXT(MOD(TIMEVALUE(BT5)+44/1440,1),"HH:MM")</f>
        <v/>
      </c>
      <c r="BU26" s="13">
        <f>TEXT(MOD(TIMEVALUE(BU5)+44/1440,1),"HH:MM")</f>
        <v/>
      </c>
      <c r="BV26" s="13">
        <f>TEXT(MOD(TIMEVALUE(BV5)+44/1440,1),"HH:MM")</f>
        <v/>
      </c>
      <c r="BW26" s="13">
        <f>TEXT(MOD(TIMEVALUE(BW5)+44/1440,1),"HH:MM")</f>
        <v/>
      </c>
      <c r="BX26" s="13">
        <f>TEXT(MOD(TIMEVALUE(BX5)+44/1440,1),"HH:MM")</f>
        <v/>
      </c>
      <c r="BY26" s="13">
        <f>TEXT(MOD(TIMEVALUE(BY5)+44/1440,1),"HH:MM")</f>
        <v/>
      </c>
      <c r="BZ26" s="13">
        <f>TEXT(MOD(TIMEVALUE(BZ5)+44/1440,1),"HH:MM")</f>
        <v/>
      </c>
      <c r="CA26" s="13">
        <f>TEXT(MOD(TIMEVALUE(CA5)+44/1440,1),"HH:MM")</f>
        <v/>
      </c>
      <c r="CB26" s="13">
        <f>TEXT(MOD(TIMEVALUE(CB5)+44/1440,1),"HH:MM")</f>
        <v/>
      </c>
      <c r="CC26" s="13">
        <f>TEXT(MOD(TIMEVALUE(CC5)+44/1440,1),"HH:MM")</f>
        <v/>
      </c>
      <c r="CD26" s="13">
        <f>TEXT(MOD(TIMEVALUE(CD5)+44/1440,1),"HH:MM")</f>
        <v/>
      </c>
      <c r="CE26" s="13">
        <f>TEXT(MOD(TIMEVALUE(CE5)+44/1440,1),"HH:MM")</f>
        <v/>
      </c>
      <c r="CF26" s="13">
        <f>TEXT(MOD(TIMEVALUE(CF5)+44/1440,1),"HH:MM")</f>
        <v/>
      </c>
      <c r="CG26" s="13">
        <f>TEXT(MOD(TIMEVALUE(CG5)+44/1440,1),"HH:MM")</f>
        <v/>
      </c>
      <c r="CH26" s="13">
        <f>TEXT(MOD(TIMEVALUE(CH5)+44/1440,1),"HH:MM")</f>
        <v/>
      </c>
      <c r="CI26" s="13">
        <f>TEXT(MOD(TIMEVALUE(CI5)+44/1440,1),"HH:MM")</f>
        <v/>
      </c>
      <c r="CJ26" s="13">
        <f>TEXT(MOD(TIMEVALUE(CJ5)+44/1440,1),"HH:MM")</f>
        <v/>
      </c>
      <c r="CK26" s="13">
        <f>TEXT(MOD(TIMEVALUE(CK5)+44/1440,1),"HH:MM")</f>
        <v/>
      </c>
      <c r="CL26" s="13">
        <f>TEXT(MOD(TIMEVALUE(CL5)+44/1440,1),"HH:MM")</f>
        <v/>
      </c>
      <c r="CM26" s="13">
        <f>TEXT(MOD(TIMEVALUE(CM5)+44/1440,1),"HH:MM")</f>
        <v/>
      </c>
      <c r="CN26" s="13">
        <f>TEXT(MOD(TIMEVALUE(CN5)+44/1440,1),"HH:MM")</f>
        <v/>
      </c>
      <c r="CO26" s="13">
        <f>TEXT(MOD(TIMEVALUE(CO5)+44/1440,1),"HH:MM")</f>
        <v/>
      </c>
      <c r="CP26" s="13">
        <f>TEXT(MOD(TIMEVALUE(CP5)+44/1440,1),"HH:MM")</f>
        <v/>
      </c>
    </row>
    <row r="27" ht="16.5" customHeight="1" s="26">
      <c r="A27" s="14" t="inlineStr">
        <is>
          <t>Federico Lacroze</t>
        </is>
      </c>
      <c r="B27" s="15">
        <f>TEXT(MOD(TIMEVALUE(B5)+49/1440,1),"HH:MM")</f>
        <v/>
      </c>
      <c r="C27" s="15">
        <f>TEXT(MOD(TIMEVALUE(C5)+49/1440,1),"HH:MM")</f>
        <v/>
      </c>
      <c r="D27" s="15">
        <f>TEXT(MOD(TIMEVALUE(D5)+49/1440,1),"HH:MM")</f>
        <v/>
      </c>
      <c r="E27" s="15">
        <f>TEXT(MOD(TIMEVALUE(E5)+49/1440,1),"HH:MM")</f>
        <v/>
      </c>
      <c r="F27" s="15">
        <f>TEXT(MOD(TIMEVALUE(F5)+49/1440,1),"HH:MM")</f>
        <v/>
      </c>
      <c r="G27" s="15">
        <f>TEXT(MOD(TIMEVALUE(G5)+49/1440,1),"HH:MM")</f>
        <v/>
      </c>
      <c r="H27" s="15">
        <f>TEXT(MOD(TIMEVALUE(H5)+49/1440,1),"HH:MM")</f>
        <v/>
      </c>
      <c r="I27" s="15">
        <f>TEXT(MOD(TIMEVALUE(I5)+49/1440,1),"HH:MM")</f>
        <v/>
      </c>
      <c r="J27" s="15">
        <f>TEXT(MOD(TIMEVALUE(J5)+49/1440,1),"HH:MM")</f>
        <v/>
      </c>
      <c r="K27" s="15">
        <f>TEXT(MOD(TIMEVALUE(K5)+49/1440,1),"HH:MM")</f>
        <v/>
      </c>
      <c r="L27" s="15">
        <f>TEXT(MOD(TIMEVALUE(L5)+49/1440,1),"HH:MM")</f>
        <v/>
      </c>
      <c r="M27" s="15">
        <f>TEXT(MOD(TIMEVALUE(M5)+49/1440,1),"HH:MM")</f>
        <v/>
      </c>
      <c r="N27" s="15">
        <f>TEXT(MOD(TIMEVALUE(N5)+49/1440,1),"HH:MM")</f>
        <v/>
      </c>
      <c r="O27" s="15">
        <f>TEXT(MOD(TIMEVALUE(O5)+49/1440,1),"HH:MM")</f>
        <v/>
      </c>
      <c r="P27" s="15">
        <f>TEXT(MOD(TIMEVALUE(P5)+49/1440,1),"HH:MM")</f>
        <v/>
      </c>
      <c r="Q27" s="15">
        <f>TEXT(MOD(TIMEVALUE(Q5)+49/1440,1),"HH:MM")</f>
        <v/>
      </c>
      <c r="R27" s="15">
        <f>TEXT(MOD(TIMEVALUE(R5)+49/1440,1),"HH:MM")</f>
        <v/>
      </c>
      <c r="S27" s="15">
        <f>TEXT(MOD(TIMEVALUE(S5)+49/1440,1),"HH:MM")</f>
        <v/>
      </c>
      <c r="T27" s="15">
        <f>TEXT(MOD(TIMEVALUE(T5)+49/1440,1),"HH:MM")</f>
        <v/>
      </c>
      <c r="U27" s="15">
        <f>TEXT(MOD(TIMEVALUE(U5)+49/1440,1),"HH:MM")</f>
        <v/>
      </c>
      <c r="V27" s="15">
        <f>TEXT(MOD(TIMEVALUE(V5)+49/1440,1),"HH:MM")</f>
        <v/>
      </c>
      <c r="W27" s="15">
        <f>TEXT(MOD(TIMEVALUE(W5)+49/1440,1),"HH:MM")</f>
        <v/>
      </c>
      <c r="X27" s="15">
        <f>TEXT(MOD(TIMEVALUE(X5)+49/1440,1),"HH:MM")</f>
        <v/>
      </c>
      <c r="Y27" s="15">
        <f>TEXT(MOD(TIMEVALUE(Y5)+49/1440,1),"HH:MM")</f>
        <v/>
      </c>
      <c r="Z27" s="15">
        <f>TEXT(MOD(TIMEVALUE(Z5)+49/1440,1),"HH:MM")</f>
        <v/>
      </c>
      <c r="AA27" s="15">
        <f>TEXT(MOD(TIMEVALUE(AA5)+49/1440,1),"HH:MM")</f>
        <v/>
      </c>
      <c r="AB27" s="15">
        <f>TEXT(MOD(TIMEVALUE(AB5)+49/1440,1),"HH:MM")</f>
        <v/>
      </c>
      <c r="AC27" s="15">
        <f>TEXT(MOD(TIMEVALUE(AC5)+49/1440,1),"HH:MM")</f>
        <v/>
      </c>
      <c r="AD27" s="15">
        <f>TEXT(MOD(TIMEVALUE(AD5)+49/1440,1),"HH:MM")</f>
        <v/>
      </c>
      <c r="AE27" s="15">
        <f>TEXT(MOD(TIMEVALUE(AE5)+49/1440,1),"HH:MM")</f>
        <v/>
      </c>
      <c r="AF27" s="15">
        <f>TEXT(MOD(TIMEVALUE(AF5)+49/1440,1),"HH:MM")</f>
        <v/>
      </c>
      <c r="AG27" s="15">
        <f>TEXT(MOD(TIMEVALUE(AG5)+49/1440,1),"HH:MM")</f>
        <v/>
      </c>
      <c r="AH27" s="15">
        <f>TEXT(MOD(TIMEVALUE(AH5)+49/1440,1),"HH:MM")</f>
        <v/>
      </c>
      <c r="AI27" s="15">
        <f>TEXT(MOD(TIMEVALUE(AI5)+49/1440,1),"HH:MM")</f>
        <v/>
      </c>
      <c r="AJ27" s="15">
        <f>TEXT(MOD(TIMEVALUE(AJ5)+49/1440,1),"HH:MM")</f>
        <v/>
      </c>
      <c r="AK27" s="15">
        <f>TEXT(MOD(TIMEVALUE(AK5)+49/1440,1),"HH:MM")</f>
        <v/>
      </c>
      <c r="AL27" s="15">
        <f>TEXT(MOD(TIMEVALUE(AL5)+49/1440,1),"HH:MM")</f>
        <v/>
      </c>
      <c r="AM27" s="15">
        <f>TEXT(MOD(TIMEVALUE(AM5)+49/1440,1),"HH:MM")</f>
        <v/>
      </c>
      <c r="AN27" s="15">
        <f>TEXT(MOD(TIMEVALUE(AN5)+49/1440,1),"HH:MM")</f>
        <v/>
      </c>
      <c r="AO27" s="15">
        <f>TEXT(MOD(TIMEVALUE(AO5)+49/1440,1),"HH:MM")</f>
        <v/>
      </c>
      <c r="AP27" s="15">
        <f>TEXT(MOD(TIMEVALUE(AP5)+49/1440,1),"HH:MM")</f>
        <v/>
      </c>
      <c r="AQ27" s="15">
        <f>TEXT(MOD(TIMEVALUE(AQ5)+49/1440,1),"HH:MM")</f>
        <v/>
      </c>
      <c r="AR27" s="15">
        <f>TEXT(MOD(TIMEVALUE(AR5)+49/1440,1),"HH:MM")</f>
        <v/>
      </c>
      <c r="AS27" s="15">
        <f>TEXT(MOD(TIMEVALUE(AS5)+49/1440,1),"HH:MM")</f>
        <v/>
      </c>
      <c r="AT27" s="15">
        <f>TEXT(MOD(TIMEVALUE(AT5)+49/1440,1),"HH:MM")</f>
        <v/>
      </c>
      <c r="AU27" s="15">
        <f>TEXT(MOD(TIMEVALUE(AU5)+49/1440,1),"HH:MM")</f>
        <v/>
      </c>
      <c r="AV27" s="15">
        <f>TEXT(MOD(TIMEVALUE(AV5)+49/1440,1),"HH:MM")</f>
        <v/>
      </c>
      <c r="AW27" s="15">
        <f>TEXT(MOD(TIMEVALUE(AW5)+49/1440,1),"HH:MM")</f>
        <v/>
      </c>
      <c r="AX27" s="15">
        <f>TEXT(MOD(TIMEVALUE(AX5)+49/1440,1),"HH:MM")</f>
        <v/>
      </c>
      <c r="AY27" s="15">
        <f>TEXT(MOD(TIMEVALUE(AY5)+49/1440,1),"HH:MM")</f>
        <v/>
      </c>
      <c r="AZ27" s="15">
        <f>TEXT(MOD(TIMEVALUE(AZ5)+49/1440,1),"HH:MM")</f>
        <v/>
      </c>
      <c r="BA27" s="15">
        <f>TEXT(MOD(TIMEVALUE(BA5)+49/1440,1),"HH:MM")</f>
        <v/>
      </c>
      <c r="BB27" s="15">
        <f>TEXT(MOD(TIMEVALUE(BB5)+49/1440,1),"HH:MM")</f>
        <v/>
      </c>
      <c r="BC27" s="15">
        <f>TEXT(MOD(TIMEVALUE(BC5)+49/1440,1),"HH:MM")</f>
        <v/>
      </c>
      <c r="BD27" s="15">
        <f>TEXT(MOD(TIMEVALUE(BD5)+49/1440,1),"HH:MM")</f>
        <v/>
      </c>
      <c r="BE27" s="15">
        <f>TEXT(MOD(TIMEVALUE(BE5)+49/1440,1),"HH:MM")</f>
        <v/>
      </c>
      <c r="BF27" s="15">
        <f>TEXT(MOD(TIMEVALUE(BF5)+49/1440,1),"HH:MM")</f>
        <v/>
      </c>
      <c r="BG27" s="15">
        <f>TEXT(MOD(TIMEVALUE(BG5)+49/1440,1),"HH:MM")</f>
        <v/>
      </c>
      <c r="BH27" s="15">
        <f>TEXT(MOD(TIMEVALUE(BH5)+49/1440,1),"HH:MM")</f>
        <v/>
      </c>
      <c r="BI27" s="15">
        <f>TEXT(MOD(TIMEVALUE(BI5)+49/1440,1),"HH:MM")</f>
        <v/>
      </c>
      <c r="BJ27" s="15">
        <f>TEXT(MOD(TIMEVALUE(BJ5)+49/1440,1),"HH:MM")</f>
        <v/>
      </c>
      <c r="BK27" s="15">
        <f>TEXT(MOD(TIMEVALUE(BK5)+49/1440,1),"HH:MM")</f>
        <v/>
      </c>
      <c r="BL27" s="15">
        <f>TEXT(MOD(TIMEVALUE(BL5)+49/1440,1),"HH:MM")</f>
        <v/>
      </c>
      <c r="BM27" s="15">
        <f>TEXT(MOD(TIMEVALUE(BM5)+49/1440,1),"HH:MM")</f>
        <v/>
      </c>
      <c r="BN27" s="15">
        <f>TEXT(MOD(TIMEVALUE(BN5)+49/1440,1),"HH:MM")</f>
        <v/>
      </c>
      <c r="BO27" s="15">
        <f>TEXT(MOD(TIMEVALUE(BO5)+49/1440,1),"HH:MM")</f>
        <v/>
      </c>
      <c r="BP27" s="15">
        <f>TEXT(MOD(TIMEVALUE(BP5)+49/1440,1),"HH:MM")</f>
        <v/>
      </c>
      <c r="BQ27" s="15">
        <f>TEXT(MOD(TIMEVALUE(BQ5)+49/1440,1),"HH:MM")</f>
        <v/>
      </c>
      <c r="BR27" s="15">
        <f>TEXT(MOD(TIMEVALUE(BR5)+49/1440,1),"HH:MM")</f>
        <v/>
      </c>
      <c r="BS27" s="15">
        <f>TEXT(MOD(TIMEVALUE(BS5)+49/1440,1),"HH:MM")</f>
        <v/>
      </c>
      <c r="BT27" s="15">
        <f>TEXT(MOD(TIMEVALUE(BT5)+49/1440,1),"HH:MM")</f>
        <v/>
      </c>
      <c r="BU27" s="15">
        <f>TEXT(MOD(TIMEVALUE(BU5)+49/1440,1),"HH:MM")</f>
        <v/>
      </c>
      <c r="BV27" s="15">
        <f>TEXT(MOD(TIMEVALUE(BV5)+49/1440,1),"HH:MM")</f>
        <v/>
      </c>
      <c r="BW27" s="15">
        <f>TEXT(MOD(TIMEVALUE(BW5)+49/1440,1),"HH:MM")</f>
        <v/>
      </c>
      <c r="BX27" s="15">
        <f>TEXT(MOD(TIMEVALUE(BX5)+49/1440,1),"HH:MM")</f>
        <v/>
      </c>
      <c r="BY27" s="15">
        <f>TEXT(MOD(TIMEVALUE(BY5)+49/1440,1),"HH:MM")</f>
        <v/>
      </c>
      <c r="BZ27" s="15">
        <f>TEXT(MOD(TIMEVALUE(BZ5)+49/1440,1),"HH:MM")</f>
        <v/>
      </c>
      <c r="CA27" s="15">
        <f>TEXT(MOD(TIMEVALUE(CA5)+49/1440,1),"HH:MM")</f>
        <v/>
      </c>
      <c r="CB27" s="15">
        <f>TEXT(MOD(TIMEVALUE(CB5)+49/1440,1),"HH:MM")</f>
        <v/>
      </c>
      <c r="CC27" s="15">
        <f>TEXT(MOD(TIMEVALUE(CC5)+49/1440,1),"HH:MM")</f>
        <v/>
      </c>
      <c r="CD27" s="15">
        <f>TEXT(MOD(TIMEVALUE(CD5)+49/1440,1),"HH:MM")</f>
        <v/>
      </c>
      <c r="CE27" s="15">
        <f>TEXT(MOD(TIMEVALUE(CE5)+49/1440,1),"HH:MM")</f>
        <v/>
      </c>
      <c r="CF27" s="15">
        <f>TEXT(MOD(TIMEVALUE(CF5)+49/1440,1),"HH:MM")</f>
        <v/>
      </c>
      <c r="CG27" s="15">
        <f>TEXT(MOD(TIMEVALUE(CG5)+49/1440,1),"HH:MM")</f>
        <v/>
      </c>
      <c r="CH27" s="15">
        <f>TEXT(MOD(TIMEVALUE(CH5)+49/1440,1),"HH:MM")</f>
        <v/>
      </c>
      <c r="CI27" s="15">
        <f>TEXT(MOD(TIMEVALUE(CI5)+49/1440,1),"HH:MM")</f>
        <v/>
      </c>
      <c r="CJ27" s="15">
        <f>TEXT(MOD(TIMEVALUE(CJ5)+49/1440,1),"HH:MM")</f>
        <v/>
      </c>
      <c r="CK27" s="15">
        <f>TEXT(MOD(TIMEVALUE(CK5)+49/1440,1),"HH:MM")</f>
        <v/>
      </c>
      <c r="CL27" s="15">
        <f>TEXT(MOD(TIMEVALUE(CL5)+49/1440,1),"HH:MM")</f>
        <v/>
      </c>
      <c r="CM27" s="15">
        <f>TEXT(MOD(TIMEVALUE(CM5)+49/1440,1),"HH:MM")</f>
        <v/>
      </c>
      <c r="CN27" s="15">
        <f>TEXT(MOD(TIMEVALUE(CN5)+49/1440,1),"HH:MM")</f>
        <v/>
      </c>
      <c r="CO27" s="15">
        <f>TEXT(MOD(TIMEVALUE(CO5)+49/1440,1),"HH:MM")</f>
        <v/>
      </c>
      <c r="CP27" s="15">
        <f>TEXT(MOD(TIMEVALUE(CP5)+49/1440,1),"HH:MM")</f>
        <v/>
      </c>
    </row>
    <row r="28" ht="15.75" customHeight="1" s="26"/>
    <row r="29" ht="15.75" customHeight="1" s="26">
      <c r="A29" s="16" t="inlineStr">
        <is>
          <t>Fuente: Horario Mural Invierno 2026, Metrovías — metrovias.com.ar  |  Modificar la hora de salida en la fila de la estación de origen para recalcular todo el recorrido.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  <c r="AP29" s="16" t="n"/>
      <c r="AQ29" s="16" t="n"/>
      <c r="AR29" s="16" t="n"/>
      <c r="AS29" s="16" t="n"/>
      <c r="AT29" s="16" t="n"/>
      <c r="AU29" s="16" t="n"/>
      <c r="AV29" s="16" t="n"/>
      <c r="AW29" s="16" t="n"/>
      <c r="AX29" s="16" t="n"/>
      <c r="AY29" s="16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  <c r="BL29" s="16" t="n"/>
      <c r="BM29" s="16" t="n"/>
      <c r="BN29" s="16" t="n"/>
      <c r="BO29" s="16" t="n"/>
      <c r="BP29" s="16" t="n"/>
      <c r="BQ29" s="16" t="n"/>
      <c r="BR29" s="16" t="n"/>
      <c r="BS29" s="16" t="n"/>
      <c r="BT29" s="16" t="n"/>
      <c r="BU29" s="16" t="n"/>
      <c r="BV29" s="16" t="n"/>
      <c r="BW29" s="16" t="n"/>
      <c r="BX29" s="16" t="n"/>
      <c r="BY29" s="16" t="n"/>
      <c r="BZ29" s="16" t="n"/>
      <c r="CA29" s="16" t="n"/>
      <c r="CB29" s="16" t="n"/>
      <c r="CC29" s="16" t="n"/>
      <c r="CD29" s="16" t="n"/>
      <c r="CE29" s="16" t="n"/>
      <c r="CF29" s="16" t="n"/>
      <c r="CG29" s="16" t="n"/>
      <c r="CH29" s="16" t="n"/>
      <c r="CI29" s="16" t="n"/>
      <c r="CJ29" s="16" t="n"/>
      <c r="CK29" s="16" t="n"/>
      <c r="CL29" s="16" t="n"/>
      <c r="CM29" s="16" t="n"/>
      <c r="CN29" s="16" t="n"/>
      <c r="CO29" s="16" t="n"/>
      <c r="CP29" s="16" t="n"/>
    </row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29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4.43" defaultRowHeight="15" customHeight="1"/>
  <cols>
    <col width="24" customWidth="1" style="26" min="1" max="1"/>
    <col width="7" customWidth="1" style="26" min="2" max="65"/>
  </cols>
  <sheetData>
    <row r="1" ht="27.75" customHeight="1" s="26">
      <c r="A1" s="1" t="inlineStr">
        <is>
          <t>Tren Urquiza — Sábados → Lacroze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3" t="n"/>
    </row>
    <row r="2" ht="15.75" customHeight="1" s="26">
      <c r="A2" s="4" t="inlineStr">
        <is>
          <t>Salida desde General Lemos  |  Horario Mural Invierno 2026 — Metrovías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  <c r="BE2" s="5" t="n"/>
      <c r="BF2" s="5" t="n"/>
      <c r="BG2" s="5" t="n"/>
      <c r="BH2" s="5" t="n"/>
      <c r="BI2" s="5" t="n"/>
      <c r="BJ2" s="5" t="n"/>
      <c r="BK2" s="5" t="n"/>
      <c r="BL2" s="5" t="n"/>
      <c r="BM2" s="6" t="n"/>
    </row>
    <row r="3" ht="4.5" customHeight="1" s="26"/>
    <row r="4" ht="19.5" customHeight="1" s="26">
      <c r="A4" s="7" t="inlineStr">
        <is>
          <t>Estación</t>
        </is>
      </c>
      <c r="B4" s="9" t="inlineStr">
        <is>
          <t>01:00</t>
        </is>
      </c>
      <c r="C4" s="9" t="inlineStr">
        <is>
          <t>02:30</t>
        </is>
      </c>
      <c r="D4" s="9" t="inlineStr">
        <is>
          <t>03:45</t>
        </is>
      </c>
      <c r="E4" s="9" t="inlineStr">
        <is>
          <t>04:30</t>
        </is>
      </c>
      <c r="F4" s="9" t="inlineStr">
        <is>
          <t>05:00</t>
        </is>
      </c>
      <c r="G4" s="9" t="inlineStr">
        <is>
          <t>05:30</t>
        </is>
      </c>
      <c r="H4" s="9" t="inlineStr">
        <is>
          <t>05:52</t>
        </is>
      </c>
      <c r="I4" s="9" t="inlineStr">
        <is>
          <t>06:12</t>
        </is>
      </c>
      <c r="J4" s="9" t="inlineStr">
        <is>
          <t>06:32</t>
        </is>
      </c>
      <c r="K4" s="9" t="inlineStr">
        <is>
          <t>06:52</t>
        </is>
      </c>
      <c r="L4" s="9" t="inlineStr">
        <is>
          <t>07:07</t>
        </is>
      </c>
      <c r="M4" s="9" t="inlineStr">
        <is>
          <t>07:22</t>
        </is>
      </c>
      <c r="N4" s="9" t="inlineStr">
        <is>
          <t>07:37</t>
        </is>
      </c>
      <c r="O4" s="9" t="inlineStr">
        <is>
          <t>07:52</t>
        </is>
      </c>
      <c r="P4" s="9" t="inlineStr">
        <is>
          <t>08:07</t>
        </is>
      </c>
      <c r="Q4" s="9" t="inlineStr">
        <is>
          <t>08:22</t>
        </is>
      </c>
      <c r="R4" s="9" t="inlineStr">
        <is>
          <t>08:37</t>
        </is>
      </c>
      <c r="S4" s="9" t="inlineStr">
        <is>
          <t>08:52</t>
        </is>
      </c>
      <c r="T4" s="9" t="inlineStr">
        <is>
          <t>09:07</t>
        </is>
      </c>
      <c r="U4" s="9" t="inlineStr">
        <is>
          <t>09:22</t>
        </is>
      </c>
      <c r="V4" s="9" t="inlineStr">
        <is>
          <t>09:37</t>
        </is>
      </c>
      <c r="W4" s="9" t="inlineStr">
        <is>
          <t>09:52</t>
        </is>
      </c>
      <c r="X4" s="9" t="inlineStr">
        <is>
          <t>10:07</t>
        </is>
      </c>
      <c r="Y4" s="9" t="inlineStr">
        <is>
          <t>10:22</t>
        </is>
      </c>
      <c r="Z4" s="9" t="inlineStr">
        <is>
          <t>10:37</t>
        </is>
      </c>
      <c r="AA4" s="9" t="inlineStr">
        <is>
          <t>10:52</t>
        </is>
      </c>
      <c r="AB4" s="9" t="inlineStr">
        <is>
          <t>11:07</t>
        </is>
      </c>
      <c r="AC4" s="9" t="inlineStr">
        <is>
          <t>11:22</t>
        </is>
      </c>
      <c r="AD4" s="9" t="inlineStr">
        <is>
          <t>11:37</t>
        </is>
      </c>
      <c r="AE4" s="9" t="inlineStr">
        <is>
          <t>11:52</t>
        </is>
      </c>
      <c r="AF4" s="9" t="inlineStr">
        <is>
          <t>12:07</t>
        </is>
      </c>
      <c r="AG4" s="9" t="inlineStr">
        <is>
          <t>12:22</t>
        </is>
      </c>
      <c r="AH4" s="9" t="inlineStr">
        <is>
          <t>12:37</t>
        </is>
      </c>
      <c r="AI4" s="9" t="inlineStr">
        <is>
          <t>12:52</t>
        </is>
      </c>
      <c r="AJ4" s="9" t="inlineStr">
        <is>
          <t>13:12</t>
        </is>
      </c>
      <c r="AK4" s="9" t="inlineStr">
        <is>
          <t>13:32</t>
        </is>
      </c>
      <c r="AL4" s="9" t="inlineStr">
        <is>
          <t>13:53</t>
        </is>
      </c>
      <c r="AM4" s="9" t="inlineStr">
        <is>
          <t>14:12</t>
        </is>
      </c>
      <c r="AN4" s="9" t="inlineStr">
        <is>
          <t>14:32</t>
        </is>
      </c>
      <c r="AO4" s="9" t="inlineStr">
        <is>
          <t>14:52</t>
        </is>
      </c>
      <c r="AP4" s="9" t="inlineStr">
        <is>
          <t>15:12</t>
        </is>
      </c>
      <c r="AQ4" s="9" t="inlineStr">
        <is>
          <t>15:32</t>
        </is>
      </c>
      <c r="AR4" s="9" t="inlineStr">
        <is>
          <t>15:52</t>
        </is>
      </c>
      <c r="AS4" s="9" t="inlineStr">
        <is>
          <t>16:12</t>
        </is>
      </c>
      <c r="AT4" s="9" t="inlineStr">
        <is>
          <t>16:32</t>
        </is>
      </c>
      <c r="AU4" s="9" t="inlineStr">
        <is>
          <t>16:52</t>
        </is>
      </c>
      <c r="AV4" s="9" t="inlineStr">
        <is>
          <t>17:12</t>
        </is>
      </c>
      <c r="AW4" s="9" t="inlineStr">
        <is>
          <t>17:32</t>
        </is>
      </c>
      <c r="AX4" s="9" t="inlineStr">
        <is>
          <t>17:52</t>
        </is>
      </c>
      <c r="AY4" s="9" t="inlineStr">
        <is>
          <t>18:12</t>
        </is>
      </c>
      <c r="AZ4" s="9" t="inlineStr">
        <is>
          <t>18:32</t>
        </is>
      </c>
      <c r="BA4" s="9" t="inlineStr">
        <is>
          <t>18:52</t>
        </is>
      </c>
      <c r="BB4" s="9" t="inlineStr">
        <is>
          <t>19:12</t>
        </is>
      </c>
      <c r="BC4" s="9" t="inlineStr">
        <is>
          <t>19:32</t>
        </is>
      </c>
      <c r="BD4" s="9" t="inlineStr">
        <is>
          <t>19:52</t>
        </is>
      </c>
      <c r="BE4" s="9" t="inlineStr">
        <is>
          <t>20:12</t>
        </is>
      </c>
      <c r="BF4" s="9" t="inlineStr">
        <is>
          <t>20:32</t>
        </is>
      </c>
      <c r="BG4" s="9" t="inlineStr">
        <is>
          <t>20:52</t>
        </is>
      </c>
      <c r="BH4" s="9" t="inlineStr">
        <is>
          <t>21:28</t>
        </is>
      </c>
      <c r="BI4" s="9" t="inlineStr">
        <is>
          <t>21:48</t>
        </is>
      </c>
      <c r="BJ4" s="9" t="inlineStr">
        <is>
          <t>22:18</t>
        </is>
      </c>
      <c r="BK4" s="9" t="inlineStr">
        <is>
          <t>22:48</t>
        </is>
      </c>
      <c r="BL4" s="9" t="inlineStr">
        <is>
          <t>23:18</t>
        </is>
      </c>
      <c r="BM4" s="9" t="inlineStr">
        <is>
          <t>23:48</t>
        </is>
      </c>
    </row>
    <row r="5" ht="16.5" customHeight="1" s="26">
      <c r="A5" s="10" t="inlineStr">
        <is>
          <t>General Lemos</t>
        </is>
      </c>
      <c r="B5" s="11" t="inlineStr">
        <is>
          <t>01:00</t>
        </is>
      </c>
      <c r="C5" s="11" t="inlineStr">
        <is>
          <t>02:30</t>
        </is>
      </c>
      <c r="D5" s="11" t="inlineStr">
        <is>
          <t>03:45</t>
        </is>
      </c>
      <c r="E5" s="11" t="inlineStr">
        <is>
          <t>04:30</t>
        </is>
      </c>
      <c r="F5" s="11" t="inlineStr">
        <is>
          <t>05:00</t>
        </is>
      </c>
      <c r="G5" s="11" t="inlineStr">
        <is>
          <t>05:30</t>
        </is>
      </c>
      <c r="H5" s="11" t="inlineStr">
        <is>
          <t>05:52</t>
        </is>
      </c>
      <c r="I5" s="11" t="inlineStr">
        <is>
          <t>06:12</t>
        </is>
      </c>
      <c r="J5" s="11" t="inlineStr">
        <is>
          <t>06:32</t>
        </is>
      </c>
      <c r="K5" s="11" t="inlineStr">
        <is>
          <t>06:52</t>
        </is>
      </c>
      <c r="L5" s="11" t="inlineStr">
        <is>
          <t>07:07</t>
        </is>
      </c>
      <c r="M5" s="11" t="inlineStr">
        <is>
          <t>07:22</t>
        </is>
      </c>
      <c r="N5" s="11" t="inlineStr">
        <is>
          <t>07:37</t>
        </is>
      </c>
      <c r="O5" s="11" t="inlineStr">
        <is>
          <t>07:52</t>
        </is>
      </c>
      <c r="P5" s="11" t="inlineStr">
        <is>
          <t>08:07</t>
        </is>
      </c>
      <c r="Q5" s="11" t="inlineStr">
        <is>
          <t>08:22</t>
        </is>
      </c>
      <c r="R5" s="11" t="inlineStr">
        <is>
          <t>08:37</t>
        </is>
      </c>
      <c r="S5" s="11" t="inlineStr">
        <is>
          <t>08:52</t>
        </is>
      </c>
      <c r="T5" s="11" t="inlineStr">
        <is>
          <t>09:07</t>
        </is>
      </c>
      <c r="U5" s="11" t="inlineStr">
        <is>
          <t>09:22</t>
        </is>
      </c>
      <c r="V5" s="11" t="inlineStr">
        <is>
          <t>09:37</t>
        </is>
      </c>
      <c r="W5" s="11" t="inlineStr">
        <is>
          <t>09:52</t>
        </is>
      </c>
      <c r="X5" s="11" t="inlineStr">
        <is>
          <t>10:07</t>
        </is>
      </c>
      <c r="Y5" s="11" t="inlineStr">
        <is>
          <t>10:22</t>
        </is>
      </c>
      <c r="Z5" s="11" t="inlineStr">
        <is>
          <t>10:37</t>
        </is>
      </c>
      <c r="AA5" s="11" t="inlineStr">
        <is>
          <t>10:52</t>
        </is>
      </c>
      <c r="AB5" s="11" t="inlineStr">
        <is>
          <t>11:07</t>
        </is>
      </c>
      <c r="AC5" s="11" t="inlineStr">
        <is>
          <t>11:22</t>
        </is>
      </c>
      <c r="AD5" s="11" t="inlineStr">
        <is>
          <t>11:37</t>
        </is>
      </c>
      <c r="AE5" s="11" t="inlineStr">
        <is>
          <t>11:52</t>
        </is>
      </c>
      <c r="AF5" s="11" t="inlineStr">
        <is>
          <t>12:07</t>
        </is>
      </c>
      <c r="AG5" s="11" t="inlineStr">
        <is>
          <t>12:22</t>
        </is>
      </c>
      <c r="AH5" s="11" t="inlineStr">
        <is>
          <t>12:37</t>
        </is>
      </c>
      <c r="AI5" s="11" t="inlineStr">
        <is>
          <t>12:52</t>
        </is>
      </c>
      <c r="AJ5" s="11" t="inlineStr">
        <is>
          <t>13:12</t>
        </is>
      </c>
      <c r="AK5" s="11" t="inlineStr">
        <is>
          <t>13:32</t>
        </is>
      </c>
      <c r="AL5" s="11" t="inlineStr">
        <is>
          <t>13:53</t>
        </is>
      </c>
      <c r="AM5" s="11" t="inlineStr">
        <is>
          <t>14:12</t>
        </is>
      </c>
      <c r="AN5" s="11" t="inlineStr">
        <is>
          <t>14:32</t>
        </is>
      </c>
      <c r="AO5" s="11" t="inlineStr">
        <is>
          <t>14:52</t>
        </is>
      </c>
      <c r="AP5" s="11" t="inlineStr">
        <is>
          <t>15:12</t>
        </is>
      </c>
      <c r="AQ5" s="11" t="inlineStr">
        <is>
          <t>15:32</t>
        </is>
      </c>
      <c r="AR5" s="11" t="inlineStr">
        <is>
          <t>15:52</t>
        </is>
      </c>
      <c r="AS5" s="11" t="inlineStr">
        <is>
          <t>16:12</t>
        </is>
      </c>
      <c r="AT5" s="11" t="inlineStr">
        <is>
          <t>16:32</t>
        </is>
      </c>
      <c r="AU5" s="11" t="inlineStr">
        <is>
          <t>16:52</t>
        </is>
      </c>
      <c r="AV5" s="11" t="inlineStr">
        <is>
          <t>17:12</t>
        </is>
      </c>
      <c r="AW5" s="11" t="inlineStr">
        <is>
          <t>17:32</t>
        </is>
      </c>
      <c r="AX5" s="11" t="inlineStr">
        <is>
          <t>17:52</t>
        </is>
      </c>
      <c r="AY5" s="11" t="inlineStr">
        <is>
          <t>18:12</t>
        </is>
      </c>
      <c r="AZ5" s="11" t="inlineStr">
        <is>
          <t>18:32</t>
        </is>
      </c>
      <c r="BA5" s="11" t="inlineStr">
        <is>
          <t>18:52</t>
        </is>
      </c>
      <c r="BB5" s="11" t="inlineStr">
        <is>
          <t>19:12</t>
        </is>
      </c>
      <c r="BC5" s="11" t="inlineStr">
        <is>
          <t>19:32</t>
        </is>
      </c>
      <c r="BD5" s="11" t="inlineStr">
        <is>
          <t>19:52</t>
        </is>
      </c>
      <c r="BE5" s="11" t="inlineStr">
        <is>
          <t>20:12</t>
        </is>
      </c>
      <c r="BF5" s="11" t="inlineStr">
        <is>
          <t>20:32</t>
        </is>
      </c>
      <c r="BG5" s="11" t="inlineStr">
        <is>
          <t>20:52</t>
        </is>
      </c>
      <c r="BH5" s="11" t="inlineStr">
        <is>
          <t>21:28</t>
        </is>
      </c>
      <c r="BI5" s="11" t="inlineStr">
        <is>
          <t>21:48</t>
        </is>
      </c>
      <c r="BJ5" s="11" t="inlineStr">
        <is>
          <t>22:18</t>
        </is>
      </c>
      <c r="BK5" s="11" t="inlineStr">
        <is>
          <t>22:48</t>
        </is>
      </c>
      <c r="BL5" s="11" t="inlineStr">
        <is>
          <t>23:18</t>
        </is>
      </c>
      <c r="BM5" s="11" t="inlineStr">
        <is>
          <t>23:48</t>
        </is>
      </c>
    </row>
    <row r="6" ht="16.5" customHeight="1" s="26">
      <c r="A6" s="12" t="inlineStr">
        <is>
          <t>Sargento Cabral</t>
        </is>
      </c>
      <c r="B6" s="13">
        <f>TEXT(MOD(TIMEVALUE(B5)+2/1440,1),"HH:MM")</f>
        <v/>
      </c>
      <c r="C6" s="13">
        <f>TEXT(MOD(TIMEVALUE(C5)+2/1440,1),"HH:MM")</f>
        <v/>
      </c>
      <c r="D6" s="13">
        <f>TEXT(MOD(TIMEVALUE(D5)+2/1440,1),"HH:MM")</f>
        <v/>
      </c>
      <c r="E6" s="13">
        <f>TEXT(MOD(TIMEVALUE(E5)+2/1440,1),"HH:MM")</f>
        <v/>
      </c>
      <c r="F6" s="13">
        <f>TEXT(MOD(TIMEVALUE(F5)+2/1440,1),"HH:MM")</f>
        <v/>
      </c>
      <c r="G6" s="13">
        <f>TEXT(MOD(TIMEVALUE(G5)+2/1440,1),"HH:MM")</f>
        <v/>
      </c>
      <c r="H6" s="13">
        <f>TEXT(MOD(TIMEVALUE(H5)+2/1440,1),"HH:MM")</f>
        <v/>
      </c>
      <c r="I6" s="13">
        <f>TEXT(MOD(TIMEVALUE(I5)+2/1440,1),"HH:MM")</f>
        <v/>
      </c>
      <c r="J6" s="13">
        <f>TEXT(MOD(TIMEVALUE(J5)+2/1440,1),"HH:MM")</f>
        <v/>
      </c>
      <c r="K6" s="13">
        <f>TEXT(MOD(TIMEVALUE(K5)+2/1440,1),"HH:MM")</f>
        <v/>
      </c>
      <c r="L6" s="13">
        <f>TEXT(MOD(TIMEVALUE(L5)+2/1440,1),"HH:MM")</f>
        <v/>
      </c>
      <c r="M6" s="13">
        <f>TEXT(MOD(TIMEVALUE(M5)+2/1440,1),"HH:MM")</f>
        <v/>
      </c>
      <c r="N6" s="13">
        <f>TEXT(MOD(TIMEVALUE(N5)+2/1440,1),"HH:MM")</f>
        <v/>
      </c>
      <c r="O6" s="13">
        <f>TEXT(MOD(TIMEVALUE(O5)+2/1440,1),"HH:MM")</f>
        <v/>
      </c>
      <c r="P6" s="13">
        <f>TEXT(MOD(TIMEVALUE(P5)+2/1440,1),"HH:MM")</f>
        <v/>
      </c>
      <c r="Q6" s="13">
        <f>TEXT(MOD(TIMEVALUE(Q5)+2/1440,1),"HH:MM")</f>
        <v/>
      </c>
      <c r="R6" s="13">
        <f>TEXT(MOD(TIMEVALUE(R5)+2/1440,1),"HH:MM")</f>
        <v/>
      </c>
      <c r="S6" s="13">
        <f>TEXT(MOD(TIMEVALUE(S5)+2/1440,1),"HH:MM")</f>
        <v/>
      </c>
      <c r="T6" s="13">
        <f>TEXT(MOD(TIMEVALUE(T5)+2/1440,1),"HH:MM")</f>
        <v/>
      </c>
      <c r="U6" s="13">
        <f>TEXT(MOD(TIMEVALUE(U5)+2/1440,1),"HH:MM")</f>
        <v/>
      </c>
      <c r="V6" s="13">
        <f>TEXT(MOD(TIMEVALUE(V5)+2/1440,1),"HH:MM")</f>
        <v/>
      </c>
      <c r="W6" s="13">
        <f>TEXT(MOD(TIMEVALUE(W5)+2/1440,1),"HH:MM")</f>
        <v/>
      </c>
      <c r="X6" s="13">
        <f>TEXT(MOD(TIMEVALUE(X5)+2/1440,1),"HH:MM")</f>
        <v/>
      </c>
      <c r="Y6" s="13">
        <f>TEXT(MOD(TIMEVALUE(Y5)+2/1440,1),"HH:MM")</f>
        <v/>
      </c>
      <c r="Z6" s="13">
        <f>TEXT(MOD(TIMEVALUE(Z5)+2/1440,1),"HH:MM")</f>
        <v/>
      </c>
      <c r="AA6" s="13">
        <f>TEXT(MOD(TIMEVALUE(AA5)+2/1440,1),"HH:MM")</f>
        <v/>
      </c>
      <c r="AB6" s="13">
        <f>TEXT(MOD(TIMEVALUE(AB5)+2/1440,1),"HH:MM")</f>
        <v/>
      </c>
      <c r="AC6" s="13">
        <f>TEXT(MOD(TIMEVALUE(AC5)+2/1440,1),"HH:MM")</f>
        <v/>
      </c>
      <c r="AD6" s="13">
        <f>TEXT(MOD(TIMEVALUE(AD5)+2/1440,1),"HH:MM")</f>
        <v/>
      </c>
      <c r="AE6" s="13">
        <f>TEXT(MOD(TIMEVALUE(AE5)+2/1440,1),"HH:MM")</f>
        <v/>
      </c>
      <c r="AF6" s="13">
        <f>TEXT(MOD(TIMEVALUE(AF5)+2/1440,1),"HH:MM")</f>
        <v/>
      </c>
      <c r="AG6" s="13">
        <f>TEXT(MOD(TIMEVALUE(AG5)+2/1440,1),"HH:MM")</f>
        <v/>
      </c>
      <c r="AH6" s="13">
        <f>TEXT(MOD(TIMEVALUE(AH5)+2/1440,1),"HH:MM")</f>
        <v/>
      </c>
      <c r="AI6" s="13">
        <f>TEXT(MOD(TIMEVALUE(AI5)+2/1440,1),"HH:MM")</f>
        <v/>
      </c>
      <c r="AJ6" s="13">
        <f>TEXT(MOD(TIMEVALUE(AJ5)+2/1440,1),"HH:MM")</f>
        <v/>
      </c>
      <c r="AK6" s="13">
        <f>TEXT(MOD(TIMEVALUE(AK5)+2/1440,1),"HH:MM")</f>
        <v/>
      </c>
      <c r="AL6" s="13">
        <f>TEXT(MOD(TIMEVALUE(AL5)+2/1440,1),"HH:MM")</f>
        <v/>
      </c>
      <c r="AM6" s="13">
        <f>TEXT(MOD(TIMEVALUE(AM5)+2/1440,1),"HH:MM")</f>
        <v/>
      </c>
      <c r="AN6" s="13">
        <f>TEXT(MOD(TIMEVALUE(AN5)+2/1440,1),"HH:MM")</f>
        <v/>
      </c>
      <c r="AO6" s="13">
        <f>TEXT(MOD(TIMEVALUE(AO5)+2/1440,1),"HH:MM")</f>
        <v/>
      </c>
      <c r="AP6" s="13">
        <f>TEXT(MOD(TIMEVALUE(AP5)+2/1440,1),"HH:MM")</f>
        <v/>
      </c>
      <c r="AQ6" s="13">
        <f>TEXT(MOD(TIMEVALUE(AQ5)+2/1440,1),"HH:MM")</f>
        <v/>
      </c>
      <c r="AR6" s="13">
        <f>TEXT(MOD(TIMEVALUE(AR5)+2/1440,1),"HH:MM")</f>
        <v/>
      </c>
      <c r="AS6" s="13">
        <f>TEXT(MOD(TIMEVALUE(AS5)+2/1440,1),"HH:MM")</f>
        <v/>
      </c>
      <c r="AT6" s="13">
        <f>TEXT(MOD(TIMEVALUE(AT5)+2/1440,1),"HH:MM")</f>
        <v/>
      </c>
      <c r="AU6" s="13">
        <f>TEXT(MOD(TIMEVALUE(AU5)+2/1440,1),"HH:MM")</f>
        <v/>
      </c>
      <c r="AV6" s="13">
        <f>TEXT(MOD(TIMEVALUE(AV5)+2/1440,1),"HH:MM")</f>
        <v/>
      </c>
      <c r="AW6" s="13">
        <f>TEXT(MOD(TIMEVALUE(AW5)+2/1440,1),"HH:MM")</f>
        <v/>
      </c>
      <c r="AX6" s="13">
        <f>TEXT(MOD(TIMEVALUE(AX5)+2/1440,1),"HH:MM")</f>
        <v/>
      </c>
      <c r="AY6" s="13">
        <f>TEXT(MOD(TIMEVALUE(AY5)+2/1440,1),"HH:MM")</f>
        <v/>
      </c>
      <c r="AZ6" s="13">
        <f>TEXT(MOD(TIMEVALUE(AZ5)+2/1440,1),"HH:MM")</f>
        <v/>
      </c>
      <c r="BA6" s="13">
        <f>TEXT(MOD(TIMEVALUE(BA5)+2/1440,1),"HH:MM")</f>
        <v/>
      </c>
      <c r="BB6" s="13">
        <f>TEXT(MOD(TIMEVALUE(BB5)+2/1440,1),"HH:MM")</f>
        <v/>
      </c>
      <c r="BC6" s="13">
        <f>TEXT(MOD(TIMEVALUE(BC5)+2/1440,1),"HH:MM")</f>
        <v/>
      </c>
      <c r="BD6" s="13">
        <f>TEXT(MOD(TIMEVALUE(BD5)+2/1440,1),"HH:MM")</f>
        <v/>
      </c>
      <c r="BE6" s="13">
        <f>TEXT(MOD(TIMEVALUE(BE5)+2/1440,1),"HH:MM")</f>
        <v/>
      </c>
      <c r="BF6" s="13">
        <f>TEXT(MOD(TIMEVALUE(BF5)+2/1440,1),"HH:MM")</f>
        <v/>
      </c>
      <c r="BG6" s="13">
        <f>TEXT(MOD(TIMEVALUE(BG5)+2/1440,1),"HH:MM")</f>
        <v/>
      </c>
      <c r="BH6" s="13">
        <f>TEXT(MOD(TIMEVALUE(BH5)+2/1440,1),"HH:MM")</f>
        <v/>
      </c>
      <c r="BI6" s="13">
        <f>TEXT(MOD(TIMEVALUE(BI5)+2/1440,1),"HH:MM")</f>
        <v/>
      </c>
      <c r="BJ6" s="13">
        <f>TEXT(MOD(TIMEVALUE(BJ5)+2/1440,1),"HH:MM")</f>
        <v/>
      </c>
      <c r="BK6" s="13">
        <f>TEXT(MOD(TIMEVALUE(BK5)+2/1440,1),"HH:MM")</f>
        <v/>
      </c>
      <c r="BL6" s="13">
        <f>TEXT(MOD(TIMEVALUE(BL5)+2/1440,1),"HH:MM")</f>
        <v/>
      </c>
      <c r="BM6" s="13">
        <f>TEXT(MOD(TIMEVALUE(BM5)+2/1440,1),"HH:MM")</f>
        <v/>
      </c>
    </row>
    <row r="7" ht="16.5" customHeight="1" s="26">
      <c r="A7" s="14" t="inlineStr">
        <is>
          <t>Campo de Mayo</t>
        </is>
      </c>
      <c r="B7" s="15">
        <f>TEXT(MOD(TIMEVALUE(B5)+4/1440,1),"HH:MM")</f>
        <v/>
      </c>
      <c r="C7" s="15">
        <f>TEXT(MOD(TIMEVALUE(C5)+4/1440,1),"HH:MM")</f>
        <v/>
      </c>
      <c r="D7" s="15">
        <f>TEXT(MOD(TIMEVALUE(D5)+4/1440,1),"HH:MM")</f>
        <v/>
      </c>
      <c r="E7" s="15">
        <f>TEXT(MOD(TIMEVALUE(E5)+4/1440,1),"HH:MM")</f>
        <v/>
      </c>
      <c r="F7" s="15">
        <f>TEXT(MOD(TIMEVALUE(F5)+4/1440,1),"HH:MM")</f>
        <v/>
      </c>
      <c r="G7" s="15">
        <f>TEXT(MOD(TIMEVALUE(G5)+4/1440,1),"HH:MM")</f>
        <v/>
      </c>
      <c r="H7" s="15">
        <f>TEXT(MOD(TIMEVALUE(H5)+4/1440,1),"HH:MM")</f>
        <v/>
      </c>
      <c r="I7" s="15">
        <f>TEXT(MOD(TIMEVALUE(I5)+4/1440,1),"HH:MM")</f>
        <v/>
      </c>
      <c r="J7" s="15">
        <f>TEXT(MOD(TIMEVALUE(J5)+4/1440,1),"HH:MM")</f>
        <v/>
      </c>
      <c r="K7" s="15">
        <f>TEXT(MOD(TIMEVALUE(K5)+4/1440,1),"HH:MM")</f>
        <v/>
      </c>
      <c r="L7" s="15">
        <f>TEXT(MOD(TIMEVALUE(L5)+4/1440,1),"HH:MM")</f>
        <v/>
      </c>
      <c r="M7" s="15">
        <f>TEXT(MOD(TIMEVALUE(M5)+4/1440,1),"HH:MM")</f>
        <v/>
      </c>
      <c r="N7" s="15">
        <f>TEXT(MOD(TIMEVALUE(N5)+4/1440,1),"HH:MM")</f>
        <v/>
      </c>
      <c r="O7" s="15">
        <f>TEXT(MOD(TIMEVALUE(O5)+4/1440,1),"HH:MM")</f>
        <v/>
      </c>
      <c r="P7" s="15">
        <f>TEXT(MOD(TIMEVALUE(P5)+4/1440,1),"HH:MM")</f>
        <v/>
      </c>
      <c r="Q7" s="15">
        <f>TEXT(MOD(TIMEVALUE(Q5)+4/1440,1),"HH:MM")</f>
        <v/>
      </c>
      <c r="R7" s="15">
        <f>TEXT(MOD(TIMEVALUE(R5)+4/1440,1),"HH:MM")</f>
        <v/>
      </c>
      <c r="S7" s="15">
        <f>TEXT(MOD(TIMEVALUE(S5)+4/1440,1),"HH:MM")</f>
        <v/>
      </c>
      <c r="T7" s="15">
        <f>TEXT(MOD(TIMEVALUE(T5)+4/1440,1),"HH:MM")</f>
        <v/>
      </c>
      <c r="U7" s="15">
        <f>TEXT(MOD(TIMEVALUE(U5)+4/1440,1),"HH:MM")</f>
        <v/>
      </c>
      <c r="V7" s="15">
        <f>TEXT(MOD(TIMEVALUE(V5)+4/1440,1),"HH:MM")</f>
        <v/>
      </c>
      <c r="W7" s="15">
        <f>TEXT(MOD(TIMEVALUE(W5)+4/1440,1),"HH:MM")</f>
        <v/>
      </c>
      <c r="X7" s="15">
        <f>TEXT(MOD(TIMEVALUE(X5)+4/1440,1),"HH:MM")</f>
        <v/>
      </c>
      <c r="Y7" s="15">
        <f>TEXT(MOD(TIMEVALUE(Y5)+4/1440,1),"HH:MM")</f>
        <v/>
      </c>
      <c r="Z7" s="15">
        <f>TEXT(MOD(TIMEVALUE(Z5)+4/1440,1),"HH:MM")</f>
        <v/>
      </c>
      <c r="AA7" s="15">
        <f>TEXT(MOD(TIMEVALUE(AA5)+4/1440,1),"HH:MM")</f>
        <v/>
      </c>
      <c r="AB7" s="15">
        <f>TEXT(MOD(TIMEVALUE(AB5)+4/1440,1),"HH:MM")</f>
        <v/>
      </c>
      <c r="AC7" s="15">
        <f>TEXT(MOD(TIMEVALUE(AC5)+4/1440,1),"HH:MM")</f>
        <v/>
      </c>
      <c r="AD7" s="15">
        <f>TEXT(MOD(TIMEVALUE(AD5)+4/1440,1),"HH:MM")</f>
        <v/>
      </c>
      <c r="AE7" s="15">
        <f>TEXT(MOD(TIMEVALUE(AE5)+4/1440,1),"HH:MM")</f>
        <v/>
      </c>
      <c r="AF7" s="15">
        <f>TEXT(MOD(TIMEVALUE(AF5)+4/1440,1),"HH:MM")</f>
        <v/>
      </c>
      <c r="AG7" s="15">
        <f>TEXT(MOD(TIMEVALUE(AG5)+4/1440,1),"HH:MM")</f>
        <v/>
      </c>
      <c r="AH7" s="15">
        <f>TEXT(MOD(TIMEVALUE(AH5)+4/1440,1),"HH:MM")</f>
        <v/>
      </c>
      <c r="AI7" s="15">
        <f>TEXT(MOD(TIMEVALUE(AI5)+4/1440,1),"HH:MM")</f>
        <v/>
      </c>
      <c r="AJ7" s="15">
        <f>TEXT(MOD(TIMEVALUE(AJ5)+4/1440,1),"HH:MM")</f>
        <v/>
      </c>
      <c r="AK7" s="15">
        <f>TEXT(MOD(TIMEVALUE(AK5)+4/1440,1),"HH:MM")</f>
        <v/>
      </c>
      <c r="AL7" s="15">
        <f>TEXT(MOD(TIMEVALUE(AL5)+4/1440,1),"HH:MM")</f>
        <v/>
      </c>
      <c r="AM7" s="15">
        <f>TEXT(MOD(TIMEVALUE(AM5)+4/1440,1),"HH:MM")</f>
        <v/>
      </c>
      <c r="AN7" s="15">
        <f>TEXT(MOD(TIMEVALUE(AN5)+4/1440,1),"HH:MM")</f>
        <v/>
      </c>
      <c r="AO7" s="15">
        <f>TEXT(MOD(TIMEVALUE(AO5)+4/1440,1),"HH:MM")</f>
        <v/>
      </c>
      <c r="AP7" s="15">
        <f>TEXT(MOD(TIMEVALUE(AP5)+4/1440,1),"HH:MM")</f>
        <v/>
      </c>
      <c r="AQ7" s="15">
        <f>TEXT(MOD(TIMEVALUE(AQ5)+4/1440,1),"HH:MM")</f>
        <v/>
      </c>
      <c r="AR7" s="15">
        <f>TEXT(MOD(TIMEVALUE(AR5)+4/1440,1),"HH:MM")</f>
        <v/>
      </c>
      <c r="AS7" s="15">
        <f>TEXT(MOD(TIMEVALUE(AS5)+4/1440,1),"HH:MM")</f>
        <v/>
      </c>
      <c r="AT7" s="15">
        <f>TEXT(MOD(TIMEVALUE(AT5)+4/1440,1),"HH:MM")</f>
        <v/>
      </c>
      <c r="AU7" s="15">
        <f>TEXT(MOD(TIMEVALUE(AU5)+4/1440,1),"HH:MM")</f>
        <v/>
      </c>
      <c r="AV7" s="15">
        <f>TEXT(MOD(TIMEVALUE(AV5)+4/1440,1),"HH:MM")</f>
        <v/>
      </c>
      <c r="AW7" s="15">
        <f>TEXT(MOD(TIMEVALUE(AW5)+4/1440,1),"HH:MM")</f>
        <v/>
      </c>
      <c r="AX7" s="15">
        <f>TEXT(MOD(TIMEVALUE(AX5)+4/1440,1),"HH:MM")</f>
        <v/>
      </c>
      <c r="AY7" s="15">
        <f>TEXT(MOD(TIMEVALUE(AY5)+4/1440,1),"HH:MM")</f>
        <v/>
      </c>
      <c r="AZ7" s="15">
        <f>TEXT(MOD(TIMEVALUE(AZ5)+4/1440,1),"HH:MM")</f>
        <v/>
      </c>
      <c r="BA7" s="15">
        <f>TEXT(MOD(TIMEVALUE(BA5)+4/1440,1),"HH:MM")</f>
        <v/>
      </c>
      <c r="BB7" s="15">
        <f>TEXT(MOD(TIMEVALUE(BB5)+4/1440,1),"HH:MM")</f>
        <v/>
      </c>
      <c r="BC7" s="15">
        <f>TEXT(MOD(TIMEVALUE(BC5)+4/1440,1),"HH:MM")</f>
        <v/>
      </c>
      <c r="BD7" s="15">
        <f>TEXT(MOD(TIMEVALUE(BD5)+4/1440,1),"HH:MM")</f>
        <v/>
      </c>
      <c r="BE7" s="15">
        <f>TEXT(MOD(TIMEVALUE(BE5)+4/1440,1),"HH:MM")</f>
        <v/>
      </c>
      <c r="BF7" s="15">
        <f>TEXT(MOD(TIMEVALUE(BF5)+4/1440,1),"HH:MM")</f>
        <v/>
      </c>
      <c r="BG7" s="15">
        <f>TEXT(MOD(TIMEVALUE(BG5)+4/1440,1),"HH:MM")</f>
        <v/>
      </c>
      <c r="BH7" s="15">
        <f>TEXT(MOD(TIMEVALUE(BH5)+4/1440,1),"HH:MM")</f>
        <v/>
      </c>
      <c r="BI7" s="15">
        <f>TEXT(MOD(TIMEVALUE(BI5)+4/1440,1),"HH:MM")</f>
        <v/>
      </c>
      <c r="BJ7" s="15">
        <f>TEXT(MOD(TIMEVALUE(BJ5)+4/1440,1),"HH:MM")</f>
        <v/>
      </c>
      <c r="BK7" s="15">
        <f>TEXT(MOD(TIMEVALUE(BK5)+4/1440,1),"HH:MM")</f>
        <v/>
      </c>
      <c r="BL7" s="15">
        <f>TEXT(MOD(TIMEVALUE(BL5)+4/1440,1),"HH:MM")</f>
        <v/>
      </c>
      <c r="BM7" s="15">
        <f>TEXT(MOD(TIMEVALUE(BM5)+4/1440,1),"HH:MM")</f>
        <v/>
      </c>
    </row>
    <row r="8" ht="16.5" customHeight="1" s="26">
      <c r="A8" s="12" t="inlineStr">
        <is>
          <t>Teniente Agneta</t>
        </is>
      </c>
      <c r="B8" s="13">
        <f>TEXT(MOD(TIMEVALUE(B5)+5/1440,1),"HH:MM")</f>
        <v/>
      </c>
      <c r="C8" s="13">
        <f>TEXT(MOD(TIMEVALUE(C5)+5/1440,1),"HH:MM")</f>
        <v/>
      </c>
      <c r="D8" s="13">
        <f>TEXT(MOD(TIMEVALUE(D5)+5/1440,1),"HH:MM")</f>
        <v/>
      </c>
      <c r="E8" s="13">
        <f>TEXT(MOD(TIMEVALUE(E5)+5/1440,1),"HH:MM")</f>
        <v/>
      </c>
      <c r="F8" s="13">
        <f>TEXT(MOD(TIMEVALUE(F5)+5/1440,1),"HH:MM")</f>
        <v/>
      </c>
      <c r="G8" s="13">
        <f>TEXT(MOD(TIMEVALUE(G5)+5/1440,1),"HH:MM")</f>
        <v/>
      </c>
      <c r="H8" s="13">
        <f>TEXT(MOD(TIMEVALUE(H5)+5/1440,1),"HH:MM")</f>
        <v/>
      </c>
      <c r="I8" s="13">
        <f>TEXT(MOD(TIMEVALUE(I5)+5/1440,1),"HH:MM")</f>
        <v/>
      </c>
      <c r="J8" s="13">
        <f>TEXT(MOD(TIMEVALUE(J5)+5/1440,1),"HH:MM")</f>
        <v/>
      </c>
      <c r="K8" s="13">
        <f>TEXT(MOD(TIMEVALUE(K5)+5/1440,1),"HH:MM")</f>
        <v/>
      </c>
      <c r="L8" s="13">
        <f>TEXT(MOD(TIMEVALUE(L5)+5/1440,1),"HH:MM")</f>
        <v/>
      </c>
      <c r="M8" s="13">
        <f>TEXT(MOD(TIMEVALUE(M5)+5/1440,1),"HH:MM")</f>
        <v/>
      </c>
      <c r="N8" s="13">
        <f>TEXT(MOD(TIMEVALUE(N5)+5/1440,1),"HH:MM")</f>
        <v/>
      </c>
      <c r="O8" s="13">
        <f>TEXT(MOD(TIMEVALUE(O5)+5/1440,1),"HH:MM")</f>
        <v/>
      </c>
      <c r="P8" s="13">
        <f>TEXT(MOD(TIMEVALUE(P5)+5/1440,1),"HH:MM")</f>
        <v/>
      </c>
      <c r="Q8" s="13">
        <f>TEXT(MOD(TIMEVALUE(Q5)+5/1440,1),"HH:MM")</f>
        <v/>
      </c>
      <c r="R8" s="13">
        <f>TEXT(MOD(TIMEVALUE(R5)+5/1440,1),"HH:MM")</f>
        <v/>
      </c>
      <c r="S8" s="13">
        <f>TEXT(MOD(TIMEVALUE(S5)+5/1440,1),"HH:MM")</f>
        <v/>
      </c>
      <c r="T8" s="13">
        <f>TEXT(MOD(TIMEVALUE(T5)+5/1440,1),"HH:MM")</f>
        <v/>
      </c>
      <c r="U8" s="13">
        <f>TEXT(MOD(TIMEVALUE(U5)+5/1440,1),"HH:MM")</f>
        <v/>
      </c>
      <c r="V8" s="13">
        <f>TEXT(MOD(TIMEVALUE(V5)+5/1440,1),"HH:MM")</f>
        <v/>
      </c>
      <c r="W8" s="13">
        <f>TEXT(MOD(TIMEVALUE(W5)+5/1440,1),"HH:MM")</f>
        <v/>
      </c>
      <c r="X8" s="13">
        <f>TEXT(MOD(TIMEVALUE(X5)+5/1440,1),"HH:MM")</f>
        <v/>
      </c>
      <c r="Y8" s="13">
        <f>TEXT(MOD(TIMEVALUE(Y5)+5/1440,1),"HH:MM")</f>
        <v/>
      </c>
      <c r="Z8" s="13">
        <f>TEXT(MOD(TIMEVALUE(Z5)+5/1440,1),"HH:MM")</f>
        <v/>
      </c>
      <c r="AA8" s="13">
        <f>TEXT(MOD(TIMEVALUE(AA5)+5/1440,1),"HH:MM")</f>
        <v/>
      </c>
      <c r="AB8" s="13">
        <f>TEXT(MOD(TIMEVALUE(AB5)+5/1440,1),"HH:MM")</f>
        <v/>
      </c>
      <c r="AC8" s="13">
        <f>TEXT(MOD(TIMEVALUE(AC5)+5/1440,1),"HH:MM")</f>
        <v/>
      </c>
      <c r="AD8" s="13">
        <f>TEXT(MOD(TIMEVALUE(AD5)+5/1440,1),"HH:MM")</f>
        <v/>
      </c>
      <c r="AE8" s="13">
        <f>TEXT(MOD(TIMEVALUE(AE5)+5/1440,1),"HH:MM")</f>
        <v/>
      </c>
      <c r="AF8" s="13">
        <f>TEXT(MOD(TIMEVALUE(AF5)+5/1440,1),"HH:MM")</f>
        <v/>
      </c>
      <c r="AG8" s="13">
        <f>TEXT(MOD(TIMEVALUE(AG5)+5/1440,1),"HH:MM")</f>
        <v/>
      </c>
      <c r="AH8" s="13">
        <f>TEXT(MOD(TIMEVALUE(AH5)+5/1440,1),"HH:MM")</f>
        <v/>
      </c>
      <c r="AI8" s="13">
        <f>TEXT(MOD(TIMEVALUE(AI5)+5/1440,1),"HH:MM")</f>
        <v/>
      </c>
      <c r="AJ8" s="13">
        <f>TEXT(MOD(TIMEVALUE(AJ5)+5/1440,1),"HH:MM")</f>
        <v/>
      </c>
      <c r="AK8" s="13">
        <f>TEXT(MOD(TIMEVALUE(AK5)+5/1440,1),"HH:MM")</f>
        <v/>
      </c>
      <c r="AL8" s="13">
        <f>TEXT(MOD(TIMEVALUE(AL5)+5/1440,1),"HH:MM")</f>
        <v/>
      </c>
      <c r="AM8" s="13">
        <f>TEXT(MOD(TIMEVALUE(AM5)+5/1440,1),"HH:MM")</f>
        <v/>
      </c>
      <c r="AN8" s="13">
        <f>TEXT(MOD(TIMEVALUE(AN5)+5/1440,1),"HH:MM")</f>
        <v/>
      </c>
      <c r="AO8" s="13">
        <f>TEXT(MOD(TIMEVALUE(AO5)+5/1440,1),"HH:MM")</f>
        <v/>
      </c>
      <c r="AP8" s="13">
        <f>TEXT(MOD(TIMEVALUE(AP5)+5/1440,1),"HH:MM")</f>
        <v/>
      </c>
      <c r="AQ8" s="13">
        <f>TEXT(MOD(TIMEVALUE(AQ5)+5/1440,1),"HH:MM")</f>
        <v/>
      </c>
      <c r="AR8" s="13">
        <f>TEXT(MOD(TIMEVALUE(AR5)+5/1440,1),"HH:MM")</f>
        <v/>
      </c>
      <c r="AS8" s="13">
        <f>TEXT(MOD(TIMEVALUE(AS5)+5/1440,1),"HH:MM")</f>
        <v/>
      </c>
      <c r="AT8" s="13">
        <f>TEXT(MOD(TIMEVALUE(AT5)+5/1440,1),"HH:MM")</f>
        <v/>
      </c>
      <c r="AU8" s="13">
        <f>TEXT(MOD(TIMEVALUE(AU5)+5/1440,1),"HH:MM")</f>
        <v/>
      </c>
      <c r="AV8" s="13">
        <f>TEXT(MOD(TIMEVALUE(AV5)+5/1440,1),"HH:MM")</f>
        <v/>
      </c>
      <c r="AW8" s="13">
        <f>TEXT(MOD(TIMEVALUE(AW5)+5/1440,1),"HH:MM")</f>
        <v/>
      </c>
      <c r="AX8" s="13">
        <f>TEXT(MOD(TIMEVALUE(AX5)+5/1440,1),"HH:MM")</f>
        <v/>
      </c>
      <c r="AY8" s="13">
        <f>TEXT(MOD(TIMEVALUE(AY5)+5/1440,1),"HH:MM")</f>
        <v/>
      </c>
      <c r="AZ8" s="13">
        <f>TEXT(MOD(TIMEVALUE(AZ5)+5/1440,1),"HH:MM")</f>
        <v/>
      </c>
      <c r="BA8" s="13">
        <f>TEXT(MOD(TIMEVALUE(BA5)+5/1440,1),"HH:MM")</f>
        <v/>
      </c>
      <c r="BB8" s="13">
        <f>TEXT(MOD(TIMEVALUE(BB5)+5/1440,1),"HH:MM")</f>
        <v/>
      </c>
      <c r="BC8" s="13">
        <f>TEXT(MOD(TIMEVALUE(BC5)+5/1440,1),"HH:MM")</f>
        <v/>
      </c>
      <c r="BD8" s="13">
        <f>TEXT(MOD(TIMEVALUE(BD5)+5/1440,1),"HH:MM")</f>
        <v/>
      </c>
      <c r="BE8" s="13">
        <f>TEXT(MOD(TIMEVALUE(BE5)+5/1440,1),"HH:MM")</f>
        <v/>
      </c>
      <c r="BF8" s="13">
        <f>TEXT(MOD(TIMEVALUE(BF5)+5/1440,1),"HH:MM")</f>
        <v/>
      </c>
      <c r="BG8" s="13">
        <f>TEXT(MOD(TIMEVALUE(BG5)+5/1440,1),"HH:MM")</f>
        <v/>
      </c>
      <c r="BH8" s="13">
        <f>TEXT(MOD(TIMEVALUE(BH5)+5/1440,1),"HH:MM")</f>
        <v/>
      </c>
      <c r="BI8" s="13">
        <f>TEXT(MOD(TIMEVALUE(BI5)+5/1440,1),"HH:MM")</f>
        <v/>
      </c>
      <c r="BJ8" s="13">
        <f>TEXT(MOD(TIMEVALUE(BJ5)+5/1440,1),"HH:MM")</f>
        <v/>
      </c>
      <c r="BK8" s="13">
        <f>TEXT(MOD(TIMEVALUE(BK5)+5/1440,1),"HH:MM")</f>
        <v/>
      </c>
      <c r="BL8" s="13">
        <f>TEXT(MOD(TIMEVALUE(BL5)+5/1440,1),"HH:MM")</f>
        <v/>
      </c>
      <c r="BM8" s="13">
        <f>TEXT(MOD(TIMEVALUE(BM5)+5/1440,1),"HH:MM")</f>
        <v/>
      </c>
    </row>
    <row r="9" ht="16.5" customHeight="1" s="26">
      <c r="A9" s="14" t="inlineStr">
        <is>
          <t>Capitán Lozano</t>
        </is>
      </c>
      <c r="B9" s="15">
        <f>TEXT(MOD(TIMEVALUE(B5)+7/1440,1),"HH:MM")</f>
        <v/>
      </c>
      <c r="C9" s="15">
        <f>TEXT(MOD(TIMEVALUE(C5)+7/1440,1),"HH:MM")</f>
        <v/>
      </c>
      <c r="D9" s="15">
        <f>TEXT(MOD(TIMEVALUE(D5)+7/1440,1),"HH:MM")</f>
        <v/>
      </c>
      <c r="E9" s="15">
        <f>TEXT(MOD(TIMEVALUE(E5)+7/1440,1),"HH:MM")</f>
        <v/>
      </c>
      <c r="F9" s="15">
        <f>TEXT(MOD(TIMEVALUE(F5)+7/1440,1),"HH:MM")</f>
        <v/>
      </c>
      <c r="G9" s="15">
        <f>TEXT(MOD(TIMEVALUE(G5)+7/1440,1),"HH:MM")</f>
        <v/>
      </c>
      <c r="H9" s="15">
        <f>TEXT(MOD(TIMEVALUE(H5)+7/1440,1),"HH:MM")</f>
        <v/>
      </c>
      <c r="I9" s="15">
        <f>TEXT(MOD(TIMEVALUE(I5)+7/1440,1),"HH:MM")</f>
        <v/>
      </c>
      <c r="J9" s="15">
        <f>TEXT(MOD(TIMEVALUE(J5)+7/1440,1),"HH:MM")</f>
        <v/>
      </c>
      <c r="K9" s="15">
        <f>TEXT(MOD(TIMEVALUE(K5)+7/1440,1),"HH:MM")</f>
        <v/>
      </c>
      <c r="L9" s="15">
        <f>TEXT(MOD(TIMEVALUE(L5)+7/1440,1),"HH:MM")</f>
        <v/>
      </c>
      <c r="M9" s="15">
        <f>TEXT(MOD(TIMEVALUE(M5)+7/1440,1),"HH:MM")</f>
        <v/>
      </c>
      <c r="N9" s="15">
        <f>TEXT(MOD(TIMEVALUE(N5)+7/1440,1),"HH:MM")</f>
        <v/>
      </c>
      <c r="O9" s="15">
        <f>TEXT(MOD(TIMEVALUE(O5)+7/1440,1),"HH:MM")</f>
        <v/>
      </c>
      <c r="P9" s="15">
        <f>TEXT(MOD(TIMEVALUE(P5)+7/1440,1),"HH:MM")</f>
        <v/>
      </c>
      <c r="Q9" s="15">
        <f>TEXT(MOD(TIMEVALUE(Q5)+7/1440,1),"HH:MM")</f>
        <v/>
      </c>
      <c r="R9" s="15">
        <f>TEXT(MOD(TIMEVALUE(R5)+7/1440,1),"HH:MM")</f>
        <v/>
      </c>
      <c r="S9" s="15">
        <f>TEXT(MOD(TIMEVALUE(S5)+7/1440,1),"HH:MM")</f>
        <v/>
      </c>
      <c r="T9" s="15">
        <f>TEXT(MOD(TIMEVALUE(T5)+7/1440,1),"HH:MM")</f>
        <v/>
      </c>
      <c r="U9" s="15">
        <f>TEXT(MOD(TIMEVALUE(U5)+7/1440,1),"HH:MM")</f>
        <v/>
      </c>
      <c r="V9" s="15">
        <f>TEXT(MOD(TIMEVALUE(V5)+7/1440,1),"HH:MM")</f>
        <v/>
      </c>
      <c r="W9" s="15">
        <f>TEXT(MOD(TIMEVALUE(W5)+7/1440,1),"HH:MM")</f>
        <v/>
      </c>
      <c r="X9" s="15">
        <f>TEXT(MOD(TIMEVALUE(X5)+7/1440,1),"HH:MM")</f>
        <v/>
      </c>
      <c r="Y9" s="15">
        <f>TEXT(MOD(TIMEVALUE(Y5)+7/1440,1),"HH:MM")</f>
        <v/>
      </c>
      <c r="Z9" s="15">
        <f>TEXT(MOD(TIMEVALUE(Z5)+7/1440,1),"HH:MM")</f>
        <v/>
      </c>
      <c r="AA9" s="15">
        <f>TEXT(MOD(TIMEVALUE(AA5)+7/1440,1),"HH:MM")</f>
        <v/>
      </c>
      <c r="AB9" s="15">
        <f>TEXT(MOD(TIMEVALUE(AB5)+7/1440,1),"HH:MM")</f>
        <v/>
      </c>
      <c r="AC9" s="15">
        <f>TEXT(MOD(TIMEVALUE(AC5)+7/1440,1),"HH:MM")</f>
        <v/>
      </c>
      <c r="AD9" s="15">
        <f>TEXT(MOD(TIMEVALUE(AD5)+7/1440,1),"HH:MM")</f>
        <v/>
      </c>
      <c r="AE9" s="15">
        <f>TEXT(MOD(TIMEVALUE(AE5)+7/1440,1),"HH:MM")</f>
        <v/>
      </c>
      <c r="AF9" s="15">
        <f>TEXT(MOD(TIMEVALUE(AF5)+7/1440,1),"HH:MM")</f>
        <v/>
      </c>
      <c r="AG9" s="15">
        <f>TEXT(MOD(TIMEVALUE(AG5)+7/1440,1),"HH:MM")</f>
        <v/>
      </c>
      <c r="AH9" s="15">
        <f>TEXT(MOD(TIMEVALUE(AH5)+7/1440,1),"HH:MM")</f>
        <v/>
      </c>
      <c r="AI9" s="15">
        <f>TEXT(MOD(TIMEVALUE(AI5)+7/1440,1),"HH:MM")</f>
        <v/>
      </c>
      <c r="AJ9" s="15">
        <f>TEXT(MOD(TIMEVALUE(AJ5)+7/1440,1),"HH:MM")</f>
        <v/>
      </c>
      <c r="AK9" s="15">
        <f>TEXT(MOD(TIMEVALUE(AK5)+7/1440,1),"HH:MM")</f>
        <v/>
      </c>
      <c r="AL9" s="15">
        <f>TEXT(MOD(TIMEVALUE(AL5)+7/1440,1),"HH:MM")</f>
        <v/>
      </c>
      <c r="AM9" s="15">
        <f>TEXT(MOD(TIMEVALUE(AM5)+7/1440,1),"HH:MM")</f>
        <v/>
      </c>
      <c r="AN9" s="15">
        <f>TEXT(MOD(TIMEVALUE(AN5)+7/1440,1),"HH:MM")</f>
        <v/>
      </c>
      <c r="AO9" s="15">
        <f>TEXT(MOD(TIMEVALUE(AO5)+7/1440,1),"HH:MM")</f>
        <v/>
      </c>
      <c r="AP9" s="15">
        <f>TEXT(MOD(TIMEVALUE(AP5)+7/1440,1),"HH:MM")</f>
        <v/>
      </c>
      <c r="AQ9" s="15">
        <f>TEXT(MOD(TIMEVALUE(AQ5)+7/1440,1),"HH:MM")</f>
        <v/>
      </c>
      <c r="AR9" s="15">
        <f>TEXT(MOD(TIMEVALUE(AR5)+7/1440,1),"HH:MM")</f>
        <v/>
      </c>
      <c r="AS9" s="15">
        <f>TEXT(MOD(TIMEVALUE(AS5)+7/1440,1),"HH:MM")</f>
        <v/>
      </c>
      <c r="AT9" s="15">
        <f>TEXT(MOD(TIMEVALUE(AT5)+7/1440,1),"HH:MM")</f>
        <v/>
      </c>
      <c r="AU9" s="15">
        <f>TEXT(MOD(TIMEVALUE(AU5)+7/1440,1),"HH:MM")</f>
        <v/>
      </c>
      <c r="AV9" s="15">
        <f>TEXT(MOD(TIMEVALUE(AV5)+7/1440,1),"HH:MM")</f>
        <v/>
      </c>
      <c r="AW9" s="15">
        <f>TEXT(MOD(TIMEVALUE(AW5)+7/1440,1),"HH:MM")</f>
        <v/>
      </c>
      <c r="AX9" s="15">
        <f>TEXT(MOD(TIMEVALUE(AX5)+7/1440,1),"HH:MM")</f>
        <v/>
      </c>
      <c r="AY9" s="15">
        <f>TEXT(MOD(TIMEVALUE(AY5)+7/1440,1),"HH:MM")</f>
        <v/>
      </c>
      <c r="AZ9" s="15">
        <f>TEXT(MOD(TIMEVALUE(AZ5)+7/1440,1),"HH:MM")</f>
        <v/>
      </c>
      <c r="BA9" s="15">
        <f>TEXT(MOD(TIMEVALUE(BA5)+7/1440,1),"HH:MM")</f>
        <v/>
      </c>
      <c r="BB9" s="15">
        <f>TEXT(MOD(TIMEVALUE(BB5)+7/1440,1),"HH:MM")</f>
        <v/>
      </c>
      <c r="BC9" s="15">
        <f>TEXT(MOD(TIMEVALUE(BC5)+7/1440,1),"HH:MM")</f>
        <v/>
      </c>
      <c r="BD9" s="15">
        <f>TEXT(MOD(TIMEVALUE(BD5)+7/1440,1),"HH:MM")</f>
        <v/>
      </c>
      <c r="BE9" s="15">
        <f>TEXT(MOD(TIMEVALUE(BE5)+7/1440,1),"HH:MM")</f>
        <v/>
      </c>
      <c r="BF9" s="15">
        <f>TEXT(MOD(TIMEVALUE(BF5)+7/1440,1),"HH:MM")</f>
        <v/>
      </c>
      <c r="BG9" s="15">
        <f>TEXT(MOD(TIMEVALUE(BG5)+7/1440,1),"HH:MM")</f>
        <v/>
      </c>
      <c r="BH9" s="15">
        <f>TEXT(MOD(TIMEVALUE(BH5)+7/1440,1),"HH:MM")</f>
        <v/>
      </c>
      <c r="BI9" s="15">
        <f>TEXT(MOD(TIMEVALUE(BI5)+7/1440,1),"HH:MM")</f>
        <v/>
      </c>
      <c r="BJ9" s="15">
        <f>TEXT(MOD(TIMEVALUE(BJ5)+7/1440,1),"HH:MM")</f>
        <v/>
      </c>
      <c r="BK9" s="15">
        <f>TEXT(MOD(TIMEVALUE(BK5)+7/1440,1),"HH:MM")</f>
        <v/>
      </c>
      <c r="BL9" s="15">
        <f>TEXT(MOD(TIMEVALUE(BL5)+7/1440,1),"HH:MM")</f>
        <v/>
      </c>
      <c r="BM9" s="15">
        <f>TEXT(MOD(TIMEVALUE(BM5)+7/1440,1),"HH:MM")</f>
        <v/>
      </c>
    </row>
    <row r="10" ht="16.5" customHeight="1" s="26">
      <c r="A10" s="12" t="inlineStr">
        <is>
          <t>Sgto. Barruffaldi</t>
        </is>
      </c>
      <c r="B10" s="13">
        <f>TEXT(MOD(TIMEVALUE(B5)+9/1440,1),"HH:MM")</f>
        <v/>
      </c>
      <c r="C10" s="13">
        <f>TEXT(MOD(TIMEVALUE(C5)+9/1440,1),"HH:MM")</f>
        <v/>
      </c>
      <c r="D10" s="13">
        <f>TEXT(MOD(TIMEVALUE(D5)+9/1440,1),"HH:MM")</f>
        <v/>
      </c>
      <c r="E10" s="13">
        <f>TEXT(MOD(TIMEVALUE(E5)+9/1440,1),"HH:MM")</f>
        <v/>
      </c>
      <c r="F10" s="13">
        <f>TEXT(MOD(TIMEVALUE(F5)+9/1440,1),"HH:MM")</f>
        <v/>
      </c>
      <c r="G10" s="13">
        <f>TEXT(MOD(TIMEVALUE(G5)+9/1440,1),"HH:MM")</f>
        <v/>
      </c>
      <c r="H10" s="13">
        <f>TEXT(MOD(TIMEVALUE(H5)+9/1440,1),"HH:MM")</f>
        <v/>
      </c>
      <c r="I10" s="13">
        <f>TEXT(MOD(TIMEVALUE(I5)+9/1440,1),"HH:MM")</f>
        <v/>
      </c>
      <c r="J10" s="13">
        <f>TEXT(MOD(TIMEVALUE(J5)+9/1440,1),"HH:MM")</f>
        <v/>
      </c>
      <c r="K10" s="13">
        <f>TEXT(MOD(TIMEVALUE(K5)+9/1440,1),"HH:MM")</f>
        <v/>
      </c>
      <c r="L10" s="13">
        <f>TEXT(MOD(TIMEVALUE(L5)+9/1440,1),"HH:MM")</f>
        <v/>
      </c>
      <c r="M10" s="13">
        <f>TEXT(MOD(TIMEVALUE(M5)+9/1440,1),"HH:MM")</f>
        <v/>
      </c>
      <c r="N10" s="13">
        <f>TEXT(MOD(TIMEVALUE(N5)+9/1440,1),"HH:MM")</f>
        <v/>
      </c>
      <c r="O10" s="13">
        <f>TEXT(MOD(TIMEVALUE(O5)+9/1440,1),"HH:MM")</f>
        <v/>
      </c>
      <c r="P10" s="13">
        <f>TEXT(MOD(TIMEVALUE(P5)+9/1440,1),"HH:MM")</f>
        <v/>
      </c>
      <c r="Q10" s="13">
        <f>TEXT(MOD(TIMEVALUE(Q5)+9/1440,1),"HH:MM")</f>
        <v/>
      </c>
      <c r="R10" s="13">
        <f>TEXT(MOD(TIMEVALUE(R5)+9/1440,1),"HH:MM")</f>
        <v/>
      </c>
      <c r="S10" s="13">
        <f>TEXT(MOD(TIMEVALUE(S5)+9/1440,1),"HH:MM")</f>
        <v/>
      </c>
      <c r="T10" s="13">
        <f>TEXT(MOD(TIMEVALUE(T5)+9/1440,1),"HH:MM")</f>
        <v/>
      </c>
      <c r="U10" s="13">
        <f>TEXT(MOD(TIMEVALUE(U5)+9/1440,1),"HH:MM")</f>
        <v/>
      </c>
      <c r="V10" s="13">
        <f>TEXT(MOD(TIMEVALUE(V5)+9/1440,1),"HH:MM")</f>
        <v/>
      </c>
      <c r="W10" s="13">
        <f>TEXT(MOD(TIMEVALUE(W5)+9/1440,1),"HH:MM")</f>
        <v/>
      </c>
      <c r="X10" s="13">
        <f>TEXT(MOD(TIMEVALUE(X5)+9/1440,1),"HH:MM")</f>
        <v/>
      </c>
      <c r="Y10" s="13">
        <f>TEXT(MOD(TIMEVALUE(Y5)+9/1440,1),"HH:MM")</f>
        <v/>
      </c>
      <c r="Z10" s="13">
        <f>TEXT(MOD(TIMEVALUE(Z5)+9/1440,1),"HH:MM")</f>
        <v/>
      </c>
      <c r="AA10" s="13">
        <f>TEXT(MOD(TIMEVALUE(AA5)+9/1440,1),"HH:MM")</f>
        <v/>
      </c>
      <c r="AB10" s="13">
        <f>TEXT(MOD(TIMEVALUE(AB5)+9/1440,1),"HH:MM")</f>
        <v/>
      </c>
      <c r="AC10" s="13">
        <f>TEXT(MOD(TIMEVALUE(AC5)+9/1440,1),"HH:MM")</f>
        <v/>
      </c>
      <c r="AD10" s="13">
        <f>TEXT(MOD(TIMEVALUE(AD5)+9/1440,1),"HH:MM")</f>
        <v/>
      </c>
      <c r="AE10" s="13">
        <f>TEXT(MOD(TIMEVALUE(AE5)+9/1440,1),"HH:MM")</f>
        <v/>
      </c>
      <c r="AF10" s="13">
        <f>TEXT(MOD(TIMEVALUE(AF5)+9/1440,1),"HH:MM")</f>
        <v/>
      </c>
      <c r="AG10" s="13">
        <f>TEXT(MOD(TIMEVALUE(AG5)+9/1440,1),"HH:MM")</f>
        <v/>
      </c>
      <c r="AH10" s="13">
        <f>TEXT(MOD(TIMEVALUE(AH5)+9/1440,1),"HH:MM")</f>
        <v/>
      </c>
      <c r="AI10" s="13">
        <f>TEXT(MOD(TIMEVALUE(AI5)+9/1440,1),"HH:MM")</f>
        <v/>
      </c>
      <c r="AJ10" s="13">
        <f>TEXT(MOD(TIMEVALUE(AJ5)+9/1440,1),"HH:MM")</f>
        <v/>
      </c>
      <c r="AK10" s="13">
        <f>TEXT(MOD(TIMEVALUE(AK5)+9/1440,1),"HH:MM")</f>
        <v/>
      </c>
      <c r="AL10" s="13">
        <f>TEXT(MOD(TIMEVALUE(AL5)+9/1440,1),"HH:MM")</f>
        <v/>
      </c>
      <c r="AM10" s="13">
        <f>TEXT(MOD(TIMEVALUE(AM5)+9/1440,1),"HH:MM")</f>
        <v/>
      </c>
      <c r="AN10" s="13">
        <f>TEXT(MOD(TIMEVALUE(AN5)+9/1440,1),"HH:MM")</f>
        <v/>
      </c>
      <c r="AO10" s="13">
        <f>TEXT(MOD(TIMEVALUE(AO5)+9/1440,1),"HH:MM")</f>
        <v/>
      </c>
      <c r="AP10" s="13">
        <f>TEXT(MOD(TIMEVALUE(AP5)+9/1440,1),"HH:MM")</f>
        <v/>
      </c>
      <c r="AQ10" s="13">
        <f>TEXT(MOD(TIMEVALUE(AQ5)+9/1440,1),"HH:MM")</f>
        <v/>
      </c>
      <c r="AR10" s="13">
        <f>TEXT(MOD(TIMEVALUE(AR5)+9/1440,1),"HH:MM")</f>
        <v/>
      </c>
      <c r="AS10" s="13">
        <f>TEXT(MOD(TIMEVALUE(AS5)+9/1440,1),"HH:MM")</f>
        <v/>
      </c>
      <c r="AT10" s="13">
        <f>TEXT(MOD(TIMEVALUE(AT5)+9/1440,1),"HH:MM")</f>
        <v/>
      </c>
      <c r="AU10" s="13">
        <f>TEXT(MOD(TIMEVALUE(AU5)+9/1440,1),"HH:MM")</f>
        <v/>
      </c>
      <c r="AV10" s="13">
        <f>TEXT(MOD(TIMEVALUE(AV5)+9/1440,1),"HH:MM")</f>
        <v/>
      </c>
      <c r="AW10" s="13">
        <f>TEXT(MOD(TIMEVALUE(AW5)+9/1440,1),"HH:MM")</f>
        <v/>
      </c>
      <c r="AX10" s="13">
        <f>TEXT(MOD(TIMEVALUE(AX5)+9/1440,1),"HH:MM")</f>
        <v/>
      </c>
      <c r="AY10" s="13">
        <f>TEXT(MOD(TIMEVALUE(AY5)+9/1440,1),"HH:MM")</f>
        <v/>
      </c>
      <c r="AZ10" s="13">
        <f>TEXT(MOD(TIMEVALUE(AZ5)+9/1440,1),"HH:MM")</f>
        <v/>
      </c>
      <c r="BA10" s="13">
        <f>TEXT(MOD(TIMEVALUE(BA5)+9/1440,1),"HH:MM")</f>
        <v/>
      </c>
      <c r="BB10" s="13">
        <f>TEXT(MOD(TIMEVALUE(BB5)+9/1440,1),"HH:MM")</f>
        <v/>
      </c>
      <c r="BC10" s="13">
        <f>TEXT(MOD(TIMEVALUE(BC5)+9/1440,1),"HH:MM")</f>
        <v/>
      </c>
      <c r="BD10" s="13">
        <f>TEXT(MOD(TIMEVALUE(BD5)+9/1440,1),"HH:MM")</f>
        <v/>
      </c>
      <c r="BE10" s="13">
        <f>TEXT(MOD(TIMEVALUE(BE5)+9/1440,1),"HH:MM")</f>
        <v/>
      </c>
      <c r="BF10" s="13">
        <f>TEXT(MOD(TIMEVALUE(BF5)+9/1440,1),"HH:MM")</f>
        <v/>
      </c>
      <c r="BG10" s="13">
        <f>TEXT(MOD(TIMEVALUE(BG5)+9/1440,1),"HH:MM")</f>
        <v/>
      </c>
      <c r="BH10" s="13">
        <f>TEXT(MOD(TIMEVALUE(BH5)+9/1440,1),"HH:MM")</f>
        <v/>
      </c>
      <c r="BI10" s="13">
        <f>TEXT(MOD(TIMEVALUE(BI5)+9/1440,1),"HH:MM")</f>
        <v/>
      </c>
      <c r="BJ10" s="13">
        <f>TEXT(MOD(TIMEVALUE(BJ5)+9/1440,1),"HH:MM")</f>
        <v/>
      </c>
      <c r="BK10" s="13">
        <f>TEXT(MOD(TIMEVALUE(BK5)+9/1440,1),"HH:MM")</f>
        <v/>
      </c>
      <c r="BL10" s="13">
        <f>TEXT(MOD(TIMEVALUE(BL5)+9/1440,1),"HH:MM")</f>
        <v/>
      </c>
      <c r="BM10" s="13">
        <f>TEXT(MOD(TIMEVALUE(BM5)+9/1440,1),"HH:MM")</f>
        <v/>
      </c>
    </row>
    <row r="11" ht="16.5" customHeight="1" s="26">
      <c r="A11" s="14" t="inlineStr">
        <is>
          <t>Juan E. de la Salle</t>
        </is>
      </c>
      <c r="B11" s="15">
        <f>TEXT(MOD(TIMEVALUE(B5)+12/1440,1),"HH:MM")</f>
        <v/>
      </c>
      <c r="C11" s="15">
        <f>TEXT(MOD(TIMEVALUE(C5)+12/1440,1),"HH:MM")</f>
        <v/>
      </c>
      <c r="D11" s="15">
        <f>TEXT(MOD(TIMEVALUE(D5)+12/1440,1),"HH:MM")</f>
        <v/>
      </c>
      <c r="E11" s="15">
        <f>TEXT(MOD(TIMEVALUE(E5)+12/1440,1),"HH:MM")</f>
        <v/>
      </c>
      <c r="F11" s="15">
        <f>TEXT(MOD(TIMEVALUE(F5)+12/1440,1),"HH:MM")</f>
        <v/>
      </c>
      <c r="G11" s="15">
        <f>TEXT(MOD(TIMEVALUE(G5)+12/1440,1),"HH:MM")</f>
        <v/>
      </c>
      <c r="H11" s="15">
        <f>TEXT(MOD(TIMEVALUE(H5)+12/1440,1),"HH:MM")</f>
        <v/>
      </c>
      <c r="I11" s="15">
        <f>TEXT(MOD(TIMEVALUE(I5)+12/1440,1),"HH:MM")</f>
        <v/>
      </c>
      <c r="J11" s="15">
        <f>TEXT(MOD(TIMEVALUE(J5)+12/1440,1),"HH:MM")</f>
        <v/>
      </c>
      <c r="K11" s="15">
        <f>TEXT(MOD(TIMEVALUE(K5)+12/1440,1),"HH:MM")</f>
        <v/>
      </c>
      <c r="L11" s="15">
        <f>TEXT(MOD(TIMEVALUE(L5)+12/1440,1),"HH:MM")</f>
        <v/>
      </c>
      <c r="M11" s="15">
        <f>TEXT(MOD(TIMEVALUE(M5)+12/1440,1),"HH:MM")</f>
        <v/>
      </c>
      <c r="N11" s="15">
        <f>TEXT(MOD(TIMEVALUE(N5)+12/1440,1),"HH:MM")</f>
        <v/>
      </c>
      <c r="O11" s="15">
        <f>TEXT(MOD(TIMEVALUE(O5)+12/1440,1),"HH:MM")</f>
        <v/>
      </c>
      <c r="P11" s="15">
        <f>TEXT(MOD(TIMEVALUE(P5)+12/1440,1),"HH:MM")</f>
        <v/>
      </c>
      <c r="Q11" s="15">
        <f>TEXT(MOD(TIMEVALUE(Q5)+12/1440,1),"HH:MM")</f>
        <v/>
      </c>
      <c r="R11" s="15">
        <f>TEXT(MOD(TIMEVALUE(R5)+12/1440,1),"HH:MM")</f>
        <v/>
      </c>
      <c r="S11" s="15">
        <f>TEXT(MOD(TIMEVALUE(S5)+12/1440,1),"HH:MM")</f>
        <v/>
      </c>
      <c r="T11" s="15">
        <f>TEXT(MOD(TIMEVALUE(T5)+12/1440,1),"HH:MM")</f>
        <v/>
      </c>
      <c r="U11" s="15">
        <f>TEXT(MOD(TIMEVALUE(U5)+12/1440,1),"HH:MM")</f>
        <v/>
      </c>
      <c r="V11" s="15">
        <f>TEXT(MOD(TIMEVALUE(V5)+12/1440,1),"HH:MM")</f>
        <v/>
      </c>
      <c r="W11" s="15">
        <f>TEXT(MOD(TIMEVALUE(W5)+12/1440,1),"HH:MM")</f>
        <v/>
      </c>
      <c r="X11" s="15">
        <f>TEXT(MOD(TIMEVALUE(X5)+12/1440,1),"HH:MM")</f>
        <v/>
      </c>
      <c r="Y11" s="15">
        <f>TEXT(MOD(TIMEVALUE(Y5)+12/1440,1),"HH:MM")</f>
        <v/>
      </c>
      <c r="Z11" s="15">
        <f>TEXT(MOD(TIMEVALUE(Z5)+12/1440,1),"HH:MM")</f>
        <v/>
      </c>
      <c r="AA11" s="15">
        <f>TEXT(MOD(TIMEVALUE(AA5)+12/1440,1),"HH:MM")</f>
        <v/>
      </c>
      <c r="AB11" s="15">
        <f>TEXT(MOD(TIMEVALUE(AB5)+12/1440,1),"HH:MM")</f>
        <v/>
      </c>
      <c r="AC11" s="15">
        <f>TEXT(MOD(TIMEVALUE(AC5)+12/1440,1),"HH:MM")</f>
        <v/>
      </c>
      <c r="AD11" s="15">
        <f>TEXT(MOD(TIMEVALUE(AD5)+12/1440,1),"HH:MM")</f>
        <v/>
      </c>
      <c r="AE11" s="15">
        <f>TEXT(MOD(TIMEVALUE(AE5)+12/1440,1),"HH:MM")</f>
        <v/>
      </c>
      <c r="AF11" s="15">
        <f>TEXT(MOD(TIMEVALUE(AF5)+12/1440,1),"HH:MM")</f>
        <v/>
      </c>
      <c r="AG11" s="15">
        <f>TEXT(MOD(TIMEVALUE(AG5)+12/1440,1),"HH:MM")</f>
        <v/>
      </c>
      <c r="AH11" s="15">
        <f>TEXT(MOD(TIMEVALUE(AH5)+12/1440,1),"HH:MM")</f>
        <v/>
      </c>
      <c r="AI11" s="15">
        <f>TEXT(MOD(TIMEVALUE(AI5)+12/1440,1),"HH:MM")</f>
        <v/>
      </c>
      <c r="AJ11" s="15">
        <f>TEXT(MOD(TIMEVALUE(AJ5)+12/1440,1),"HH:MM")</f>
        <v/>
      </c>
      <c r="AK11" s="15">
        <f>TEXT(MOD(TIMEVALUE(AK5)+12/1440,1),"HH:MM")</f>
        <v/>
      </c>
      <c r="AL11" s="15">
        <f>TEXT(MOD(TIMEVALUE(AL5)+12/1440,1),"HH:MM")</f>
        <v/>
      </c>
      <c r="AM11" s="15">
        <f>TEXT(MOD(TIMEVALUE(AM5)+12/1440,1),"HH:MM")</f>
        <v/>
      </c>
      <c r="AN11" s="15">
        <f>TEXT(MOD(TIMEVALUE(AN5)+12/1440,1),"HH:MM")</f>
        <v/>
      </c>
      <c r="AO11" s="15">
        <f>TEXT(MOD(TIMEVALUE(AO5)+12/1440,1),"HH:MM")</f>
        <v/>
      </c>
      <c r="AP11" s="15">
        <f>TEXT(MOD(TIMEVALUE(AP5)+12/1440,1),"HH:MM")</f>
        <v/>
      </c>
      <c r="AQ11" s="15">
        <f>TEXT(MOD(TIMEVALUE(AQ5)+12/1440,1),"HH:MM")</f>
        <v/>
      </c>
      <c r="AR11" s="15">
        <f>TEXT(MOD(TIMEVALUE(AR5)+12/1440,1),"HH:MM")</f>
        <v/>
      </c>
      <c r="AS11" s="15">
        <f>TEXT(MOD(TIMEVALUE(AS5)+12/1440,1),"HH:MM")</f>
        <v/>
      </c>
      <c r="AT11" s="15">
        <f>TEXT(MOD(TIMEVALUE(AT5)+12/1440,1),"HH:MM")</f>
        <v/>
      </c>
      <c r="AU11" s="15">
        <f>TEXT(MOD(TIMEVALUE(AU5)+12/1440,1),"HH:MM")</f>
        <v/>
      </c>
      <c r="AV11" s="15">
        <f>TEXT(MOD(TIMEVALUE(AV5)+12/1440,1),"HH:MM")</f>
        <v/>
      </c>
      <c r="AW11" s="15">
        <f>TEXT(MOD(TIMEVALUE(AW5)+12/1440,1),"HH:MM")</f>
        <v/>
      </c>
      <c r="AX11" s="15">
        <f>TEXT(MOD(TIMEVALUE(AX5)+12/1440,1),"HH:MM")</f>
        <v/>
      </c>
      <c r="AY11" s="15">
        <f>TEXT(MOD(TIMEVALUE(AY5)+12/1440,1),"HH:MM")</f>
        <v/>
      </c>
      <c r="AZ11" s="15">
        <f>TEXT(MOD(TIMEVALUE(AZ5)+12/1440,1),"HH:MM")</f>
        <v/>
      </c>
      <c r="BA11" s="15">
        <f>TEXT(MOD(TIMEVALUE(BA5)+12/1440,1),"HH:MM")</f>
        <v/>
      </c>
      <c r="BB11" s="15">
        <f>TEXT(MOD(TIMEVALUE(BB5)+12/1440,1),"HH:MM")</f>
        <v/>
      </c>
      <c r="BC11" s="15">
        <f>TEXT(MOD(TIMEVALUE(BC5)+12/1440,1),"HH:MM")</f>
        <v/>
      </c>
      <c r="BD11" s="15">
        <f>TEXT(MOD(TIMEVALUE(BD5)+12/1440,1),"HH:MM")</f>
        <v/>
      </c>
      <c r="BE11" s="15">
        <f>TEXT(MOD(TIMEVALUE(BE5)+12/1440,1),"HH:MM")</f>
        <v/>
      </c>
      <c r="BF11" s="15">
        <f>TEXT(MOD(TIMEVALUE(BF5)+12/1440,1),"HH:MM")</f>
        <v/>
      </c>
      <c r="BG11" s="15">
        <f>TEXT(MOD(TIMEVALUE(BG5)+12/1440,1),"HH:MM")</f>
        <v/>
      </c>
      <c r="BH11" s="15">
        <f>TEXT(MOD(TIMEVALUE(BH5)+12/1440,1),"HH:MM")</f>
        <v/>
      </c>
      <c r="BI11" s="15">
        <f>TEXT(MOD(TIMEVALUE(BI5)+12/1440,1),"HH:MM")</f>
        <v/>
      </c>
      <c r="BJ11" s="15">
        <f>TEXT(MOD(TIMEVALUE(BJ5)+12/1440,1),"HH:MM")</f>
        <v/>
      </c>
      <c r="BK11" s="15">
        <f>TEXT(MOD(TIMEVALUE(BK5)+12/1440,1),"HH:MM")</f>
        <v/>
      </c>
      <c r="BL11" s="15">
        <f>TEXT(MOD(TIMEVALUE(BL5)+12/1440,1),"HH:MM")</f>
        <v/>
      </c>
      <c r="BM11" s="15">
        <f>TEXT(MOD(TIMEVALUE(BM5)+12/1440,1),"HH:MM")</f>
        <v/>
      </c>
    </row>
    <row r="12" ht="16.5" customHeight="1" s="26">
      <c r="A12" s="12" t="inlineStr">
        <is>
          <t>Ejército de los Andes</t>
        </is>
      </c>
      <c r="B12" s="13">
        <f>TEXT(MOD(TIMEVALUE(B5)+14/1440,1),"HH:MM")</f>
        <v/>
      </c>
      <c r="C12" s="13">
        <f>TEXT(MOD(TIMEVALUE(C5)+14/1440,1),"HH:MM")</f>
        <v/>
      </c>
      <c r="D12" s="13">
        <f>TEXT(MOD(TIMEVALUE(D5)+14/1440,1),"HH:MM")</f>
        <v/>
      </c>
      <c r="E12" s="13">
        <f>TEXT(MOD(TIMEVALUE(E5)+14/1440,1),"HH:MM")</f>
        <v/>
      </c>
      <c r="F12" s="13">
        <f>TEXT(MOD(TIMEVALUE(F5)+14/1440,1),"HH:MM")</f>
        <v/>
      </c>
      <c r="G12" s="13">
        <f>TEXT(MOD(TIMEVALUE(G5)+14/1440,1),"HH:MM")</f>
        <v/>
      </c>
      <c r="H12" s="13">
        <f>TEXT(MOD(TIMEVALUE(H5)+14/1440,1),"HH:MM")</f>
        <v/>
      </c>
      <c r="I12" s="13">
        <f>TEXT(MOD(TIMEVALUE(I5)+14/1440,1),"HH:MM")</f>
        <v/>
      </c>
      <c r="J12" s="13">
        <f>TEXT(MOD(TIMEVALUE(J5)+14/1440,1),"HH:MM")</f>
        <v/>
      </c>
      <c r="K12" s="13">
        <f>TEXT(MOD(TIMEVALUE(K5)+14/1440,1),"HH:MM")</f>
        <v/>
      </c>
      <c r="L12" s="13">
        <f>TEXT(MOD(TIMEVALUE(L5)+14/1440,1),"HH:MM")</f>
        <v/>
      </c>
      <c r="M12" s="13">
        <f>TEXT(MOD(TIMEVALUE(M5)+14/1440,1),"HH:MM")</f>
        <v/>
      </c>
      <c r="N12" s="13">
        <f>TEXT(MOD(TIMEVALUE(N5)+14/1440,1),"HH:MM")</f>
        <v/>
      </c>
      <c r="O12" s="13">
        <f>TEXT(MOD(TIMEVALUE(O5)+14/1440,1),"HH:MM")</f>
        <v/>
      </c>
      <c r="P12" s="13">
        <f>TEXT(MOD(TIMEVALUE(P5)+14/1440,1),"HH:MM")</f>
        <v/>
      </c>
      <c r="Q12" s="13">
        <f>TEXT(MOD(TIMEVALUE(Q5)+14/1440,1),"HH:MM")</f>
        <v/>
      </c>
      <c r="R12" s="13">
        <f>TEXT(MOD(TIMEVALUE(R5)+14/1440,1),"HH:MM")</f>
        <v/>
      </c>
      <c r="S12" s="13">
        <f>TEXT(MOD(TIMEVALUE(S5)+14/1440,1),"HH:MM")</f>
        <v/>
      </c>
      <c r="T12" s="13">
        <f>TEXT(MOD(TIMEVALUE(T5)+14/1440,1),"HH:MM")</f>
        <v/>
      </c>
      <c r="U12" s="13">
        <f>TEXT(MOD(TIMEVALUE(U5)+14/1440,1),"HH:MM")</f>
        <v/>
      </c>
      <c r="V12" s="13">
        <f>TEXT(MOD(TIMEVALUE(V5)+14/1440,1),"HH:MM")</f>
        <v/>
      </c>
      <c r="W12" s="13">
        <f>TEXT(MOD(TIMEVALUE(W5)+14/1440,1),"HH:MM")</f>
        <v/>
      </c>
      <c r="X12" s="13">
        <f>TEXT(MOD(TIMEVALUE(X5)+14/1440,1),"HH:MM")</f>
        <v/>
      </c>
      <c r="Y12" s="13">
        <f>TEXT(MOD(TIMEVALUE(Y5)+14/1440,1),"HH:MM")</f>
        <v/>
      </c>
      <c r="Z12" s="13">
        <f>TEXT(MOD(TIMEVALUE(Z5)+14/1440,1),"HH:MM")</f>
        <v/>
      </c>
      <c r="AA12" s="13">
        <f>TEXT(MOD(TIMEVALUE(AA5)+14/1440,1),"HH:MM")</f>
        <v/>
      </c>
      <c r="AB12" s="13">
        <f>TEXT(MOD(TIMEVALUE(AB5)+14/1440,1),"HH:MM")</f>
        <v/>
      </c>
      <c r="AC12" s="13">
        <f>TEXT(MOD(TIMEVALUE(AC5)+14/1440,1),"HH:MM")</f>
        <v/>
      </c>
      <c r="AD12" s="13">
        <f>TEXT(MOD(TIMEVALUE(AD5)+14/1440,1),"HH:MM")</f>
        <v/>
      </c>
      <c r="AE12" s="13">
        <f>TEXT(MOD(TIMEVALUE(AE5)+14/1440,1),"HH:MM")</f>
        <v/>
      </c>
      <c r="AF12" s="13">
        <f>TEXT(MOD(TIMEVALUE(AF5)+14/1440,1),"HH:MM")</f>
        <v/>
      </c>
      <c r="AG12" s="13">
        <f>TEXT(MOD(TIMEVALUE(AG5)+14/1440,1),"HH:MM")</f>
        <v/>
      </c>
      <c r="AH12" s="13">
        <f>TEXT(MOD(TIMEVALUE(AH5)+14/1440,1),"HH:MM")</f>
        <v/>
      </c>
      <c r="AI12" s="13">
        <f>TEXT(MOD(TIMEVALUE(AI5)+14/1440,1),"HH:MM")</f>
        <v/>
      </c>
      <c r="AJ12" s="13">
        <f>TEXT(MOD(TIMEVALUE(AJ5)+14/1440,1),"HH:MM")</f>
        <v/>
      </c>
      <c r="AK12" s="13">
        <f>TEXT(MOD(TIMEVALUE(AK5)+14/1440,1),"HH:MM")</f>
        <v/>
      </c>
      <c r="AL12" s="13">
        <f>TEXT(MOD(TIMEVALUE(AL5)+14/1440,1),"HH:MM")</f>
        <v/>
      </c>
      <c r="AM12" s="13">
        <f>TEXT(MOD(TIMEVALUE(AM5)+14/1440,1),"HH:MM")</f>
        <v/>
      </c>
      <c r="AN12" s="13">
        <f>TEXT(MOD(TIMEVALUE(AN5)+14/1440,1),"HH:MM")</f>
        <v/>
      </c>
      <c r="AO12" s="13">
        <f>TEXT(MOD(TIMEVALUE(AO5)+14/1440,1),"HH:MM")</f>
        <v/>
      </c>
      <c r="AP12" s="13">
        <f>TEXT(MOD(TIMEVALUE(AP5)+14/1440,1),"HH:MM")</f>
        <v/>
      </c>
      <c r="AQ12" s="13">
        <f>TEXT(MOD(TIMEVALUE(AQ5)+14/1440,1),"HH:MM")</f>
        <v/>
      </c>
      <c r="AR12" s="13">
        <f>TEXT(MOD(TIMEVALUE(AR5)+14/1440,1),"HH:MM")</f>
        <v/>
      </c>
      <c r="AS12" s="13">
        <f>TEXT(MOD(TIMEVALUE(AS5)+14/1440,1),"HH:MM")</f>
        <v/>
      </c>
      <c r="AT12" s="13">
        <f>TEXT(MOD(TIMEVALUE(AT5)+14/1440,1),"HH:MM")</f>
        <v/>
      </c>
      <c r="AU12" s="13">
        <f>TEXT(MOD(TIMEVALUE(AU5)+14/1440,1),"HH:MM")</f>
        <v/>
      </c>
      <c r="AV12" s="13">
        <f>TEXT(MOD(TIMEVALUE(AV5)+14/1440,1),"HH:MM")</f>
        <v/>
      </c>
      <c r="AW12" s="13">
        <f>TEXT(MOD(TIMEVALUE(AW5)+14/1440,1),"HH:MM")</f>
        <v/>
      </c>
      <c r="AX12" s="13">
        <f>TEXT(MOD(TIMEVALUE(AX5)+14/1440,1),"HH:MM")</f>
        <v/>
      </c>
      <c r="AY12" s="13">
        <f>TEXT(MOD(TIMEVALUE(AY5)+14/1440,1),"HH:MM")</f>
        <v/>
      </c>
      <c r="AZ12" s="13">
        <f>TEXT(MOD(TIMEVALUE(AZ5)+14/1440,1),"HH:MM")</f>
        <v/>
      </c>
      <c r="BA12" s="13">
        <f>TEXT(MOD(TIMEVALUE(BA5)+14/1440,1),"HH:MM")</f>
        <v/>
      </c>
      <c r="BB12" s="13">
        <f>TEXT(MOD(TIMEVALUE(BB5)+14/1440,1),"HH:MM")</f>
        <v/>
      </c>
      <c r="BC12" s="13">
        <f>TEXT(MOD(TIMEVALUE(BC5)+14/1440,1),"HH:MM")</f>
        <v/>
      </c>
      <c r="BD12" s="13">
        <f>TEXT(MOD(TIMEVALUE(BD5)+14/1440,1),"HH:MM")</f>
        <v/>
      </c>
      <c r="BE12" s="13">
        <f>TEXT(MOD(TIMEVALUE(BE5)+14/1440,1),"HH:MM")</f>
        <v/>
      </c>
      <c r="BF12" s="13">
        <f>TEXT(MOD(TIMEVALUE(BF5)+14/1440,1),"HH:MM")</f>
        <v/>
      </c>
      <c r="BG12" s="13">
        <f>TEXT(MOD(TIMEVALUE(BG5)+14/1440,1),"HH:MM")</f>
        <v/>
      </c>
      <c r="BH12" s="13">
        <f>TEXT(MOD(TIMEVALUE(BH5)+14/1440,1),"HH:MM")</f>
        <v/>
      </c>
      <c r="BI12" s="13">
        <f>TEXT(MOD(TIMEVALUE(BI5)+14/1440,1),"HH:MM")</f>
        <v/>
      </c>
      <c r="BJ12" s="13">
        <f>TEXT(MOD(TIMEVALUE(BJ5)+14/1440,1),"HH:MM")</f>
        <v/>
      </c>
      <c r="BK12" s="13">
        <f>TEXT(MOD(TIMEVALUE(BK5)+14/1440,1),"HH:MM")</f>
        <v/>
      </c>
      <c r="BL12" s="13">
        <f>TEXT(MOD(TIMEVALUE(BL5)+14/1440,1),"HH:MM")</f>
        <v/>
      </c>
      <c r="BM12" s="13">
        <f>TEXT(MOD(TIMEVALUE(BM5)+14/1440,1),"HH:MM")</f>
        <v/>
      </c>
    </row>
    <row r="13" ht="16.5" customHeight="1" s="26">
      <c r="A13" s="14" t="inlineStr">
        <is>
          <t>Rubén Darío</t>
        </is>
      </c>
      <c r="B13" s="15">
        <f>TEXT(MOD(TIMEVALUE(B5)+18/1440,1),"HH:MM")</f>
        <v/>
      </c>
      <c r="C13" s="15">
        <f>TEXT(MOD(TIMEVALUE(C5)+18/1440,1),"HH:MM")</f>
        <v/>
      </c>
      <c r="D13" s="15">
        <f>TEXT(MOD(TIMEVALUE(D5)+18/1440,1),"HH:MM")</f>
        <v/>
      </c>
      <c r="E13" s="15">
        <f>TEXT(MOD(TIMEVALUE(E5)+18/1440,1),"HH:MM")</f>
        <v/>
      </c>
      <c r="F13" s="15">
        <f>TEXT(MOD(TIMEVALUE(F5)+18/1440,1),"HH:MM")</f>
        <v/>
      </c>
      <c r="G13" s="15">
        <f>TEXT(MOD(TIMEVALUE(G5)+18/1440,1),"HH:MM")</f>
        <v/>
      </c>
      <c r="H13" s="15">
        <f>TEXT(MOD(TIMEVALUE(H5)+18/1440,1),"HH:MM")</f>
        <v/>
      </c>
      <c r="I13" s="15">
        <f>TEXT(MOD(TIMEVALUE(I5)+18/1440,1),"HH:MM")</f>
        <v/>
      </c>
      <c r="J13" s="15">
        <f>TEXT(MOD(TIMEVALUE(J5)+18/1440,1),"HH:MM")</f>
        <v/>
      </c>
      <c r="K13" s="15">
        <f>TEXT(MOD(TIMEVALUE(K5)+18/1440,1),"HH:MM")</f>
        <v/>
      </c>
      <c r="L13" s="15">
        <f>TEXT(MOD(TIMEVALUE(L5)+18/1440,1),"HH:MM")</f>
        <v/>
      </c>
      <c r="M13" s="15">
        <f>TEXT(MOD(TIMEVALUE(M5)+18/1440,1),"HH:MM")</f>
        <v/>
      </c>
      <c r="N13" s="15">
        <f>TEXT(MOD(TIMEVALUE(N5)+18/1440,1),"HH:MM")</f>
        <v/>
      </c>
      <c r="O13" s="15">
        <f>TEXT(MOD(TIMEVALUE(O5)+18/1440,1),"HH:MM")</f>
        <v/>
      </c>
      <c r="P13" s="15">
        <f>TEXT(MOD(TIMEVALUE(P5)+18/1440,1),"HH:MM")</f>
        <v/>
      </c>
      <c r="Q13" s="15">
        <f>TEXT(MOD(TIMEVALUE(Q5)+18/1440,1),"HH:MM")</f>
        <v/>
      </c>
      <c r="R13" s="15">
        <f>TEXT(MOD(TIMEVALUE(R5)+18/1440,1),"HH:MM")</f>
        <v/>
      </c>
      <c r="S13" s="15">
        <f>TEXT(MOD(TIMEVALUE(S5)+18/1440,1),"HH:MM")</f>
        <v/>
      </c>
      <c r="T13" s="15">
        <f>TEXT(MOD(TIMEVALUE(T5)+18/1440,1),"HH:MM")</f>
        <v/>
      </c>
      <c r="U13" s="15">
        <f>TEXT(MOD(TIMEVALUE(U5)+18/1440,1),"HH:MM")</f>
        <v/>
      </c>
      <c r="V13" s="15">
        <f>TEXT(MOD(TIMEVALUE(V5)+18/1440,1),"HH:MM")</f>
        <v/>
      </c>
      <c r="W13" s="15">
        <f>TEXT(MOD(TIMEVALUE(W5)+18/1440,1),"HH:MM")</f>
        <v/>
      </c>
      <c r="X13" s="15">
        <f>TEXT(MOD(TIMEVALUE(X5)+18/1440,1),"HH:MM")</f>
        <v/>
      </c>
      <c r="Y13" s="15">
        <f>TEXT(MOD(TIMEVALUE(Y5)+18/1440,1),"HH:MM")</f>
        <v/>
      </c>
      <c r="Z13" s="15">
        <f>TEXT(MOD(TIMEVALUE(Z5)+18/1440,1),"HH:MM")</f>
        <v/>
      </c>
      <c r="AA13" s="15">
        <f>TEXT(MOD(TIMEVALUE(AA5)+18/1440,1),"HH:MM")</f>
        <v/>
      </c>
      <c r="AB13" s="15">
        <f>TEXT(MOD(TIMEVALUE(AB5)+18/1440,1),"HH:MM")</f>
        <v/>
      </c>
      <c r="AC13" s="15">
        <f>TEXT(MOD(TIMEVALUE(AC5)+18/1440,1),"HH:MM")</f>
        <v/>
      </c>
      <c r="AD13" s="15">
        <f>TEXT(MOD(TIMEVALUE(AD5)+18/1440,1),"HH:MM")</f>
        <v/>
      </c>
      <c r="AE13" s="15">
        <f>TEXT(MOD(TIMEVALUE(AE5)+18/1440,1),"HH:MM")</f>
        <v/>
      </c>
      <c r="AF13" s="15">
        <f>TEXT(MOD(TIMEVALUE(AF5)+18/1440,1),"HH:MM")</f>
        <v/>
      </c>
      <c r="AG13" s="15">
        <f>TEXT(MOD(TIMEVALUE(AG5)+18/1440,1),"HH:MM")</f>
        <v/>
      </c>
      <c r="AH13" s="15">
        <f>TEXT(MOD(TIMEVALUE(AH5)+18/1440,1),"HH:MM")</f>
        <v/>
      </c>
      <c r="AI13" s="15">
        <f>TEXT(MOD(TIMEVALUE(AI5)+18/1440,1),"HH:MM")</f>
        <v/>
      </c>
      <c r="AJ13" s="15">
        <f>TEXT(MOD(TIMEVALUE(AJ5)+18/1440,1),"HH:MM")</f>
        <v/>
      </c>
      <c r="AK13" s="15">
        <f>TEXT(MOD(TIMEVALUE(AK5)+18/1440,1),"HH:MM")</f>
        <v/>
      </c>
      <c r="AL13" s="15">
        <f>TEXT(MOD(TIMEVALUE(AL5)+18/1440,1),"HH:MM")</f>
        <v/>
      </c>
      <c r="AM13" s="15">
        <f>TEXT(MOD(TIMEVALUE(AM5)+18/1440,1),"HH:MM")</f>
        <v/>
      </c>
      <c r="AN13" s="15">
        <f>TEXT(MOD(TIMEVALUE(AN5)+18/1440,1),"HH:MM")</f>
        <v/>
      </c>
      <c r="AO13" s="15">
        <f>TEXT(MOD(TIMEVALUE(AO5)+18/1440,1),"HH:MM")</f>
        <v/>
      </c>
      <c r="AP13" s="15">
        <f>TEXT(MOD(TIMEVALUE(AP5)+18/1440,1),"HH:MM")</f>
        <v/>
      </c>
      <c r="AQ13" s="15">
        <f>TEXT(MOD(TIMEVALUE(AQ5)+18/1440,1),"HH:MM")</f>
        <v/>
      </c>
      <c r="AR13" s="15">
        <f>TEXT(MOD(TIMEVALUE(AR5)+18/1440,1),"HH:MM")</f>
        <v/>
      </c>
      <c r="AS13" s="15">
        <f>TEXT(MOD(TIMEVALUE(AS5)+18/1440,1),"HH:MM")</f>
        <v/>
      </c>
      <c r="AT13" s="15">
        <f>TEXT(MOD(TIMEVALUE(AT5)+18/1440,1),"HH:MM")</f>
        <v/>
      </c>
      <c r="AU13" s="15">
        <f>TEXT(MOD(TIMEVALUE(AU5)+18/1440,1),"HH:MM")</f>
        <v/>
      </c>
      <c r="AV13" s="15">
        <f>TEXT(MOD(TIMEVALUE(AV5)+18/1440,1),"HH:MM")</f>
        <v/>
      </c>
      <c r="AW13" s="15">
        <f>TEXT(MOD(TIMEVALUE(AW5)+18/1440,1),"HH:MM")</f>
        <v/>
      </c>
      <c r="AX13" s="15">
        <f>TEXT(MOD(TIMEVALUE(AX5)+18/1440,1),"HH:MM")</f>
        <v/>
      </c>
      <c r="AY13" s="15">
        <f>TEXT(MOD(TIMEVALUE(AY5)+18/1440,1),"HH:MM")</f>
        <v/>
      </c>
      <c r="AZ13" s="15">
        <f>TEXT(MOD(TIMEVALUE(AZ5)+18/1440,1),"HH:MM")</f>
        <v/>
      </c>
      <c r="BA13" s="15">
        <f>TEXT(MOD(TIMEVALUE(BA5)+18/1440,1),"HH:MM")</f>
        <v/>
      </c>
      <c r="BB13" s="15">
        <f>TEXT(MOD(TIMEVALUE(BB5)+18/1440,1),"HH:MM")</f>
        <v/>
      </c>
      <c r="BC13" s="15">
        <f>TEXT(MOD(TIMEVALUE(BC5)+18/1440,1),"HH:MM")</f>
        <v/>
      </c>
      <c r="BD13" s="15">
        <f>TEXT(MOD(TIMEVALUE(BD5)+18/1440,1),"HH:MM")</f>
        <v/>
      </c>
      <c r="BE13" s="15">
        <f>TEXT(MOD(TIMEVALUE(BE5)+18/1440,1),"HH:MM")</f>
        <v/>
      </c>
      <c r="BF13" s="15">
        <f>TEXT(MOD(TIMEVALUE(BF5)+18/1440,1),"HH:MM")</f>
        <v/>
      </c>
      <c r="BG13" s="15">
        <f>TEXT(MOD(TIMEVALUE(BG5)+18/1440,1),"HH:MM")</f>
        <v/>
      </c>
      <c r="BH13" s="15">
        <f>TEXT(MOD(TIMEVALUE(BH5)+18/1440,1),"HH:MM")</f>
        <v/>
      </c>
      <c r="BI13" s="15">
        <f>TEXT(MOD(TIMEVALUE(BI5)+18/1440,1),"HH:MM")</f>
        <v/>
      </c>
      <c r="BJ13" s="15">
        <f>TEXT(MOD(TIMEVALUE(BJ5)+18/1440,1),"HH:MM")</f>
        <v/>
      </c>
      <c r="BK13" s="15">
        <f>TEXT(MOD(TIMEVALUE(BK5)+18/1440,1),"HH:MM")</f>
        <v/>
      </c>
      <c r="BL13" s="15">
        <f>TEXT(MOD(TIMEVALUE(BL5)+18/1440,1),"HH:MM")</f>
        <v/>
      </c>
      <c r="BM13" s="15">
        <f>TEXT(MOD(TIMEVALUE(BM5)+18/1440,1),"HH:MM")</f>
        <v/>
      </c>
    </row>
    <row r="14" ht="16.5" customHeight="1" s="26">
      <c r="A14" s="12" t="inlineStr">
        <is>
          <t>Jorge Newbery</t>
        </is>
      </c>
      <c r="B14" s="13">
        <f>TEXT(MOD(TIMEVALUE(B5)+20/1440,1),"HH:MM")</f>
        <v/>
      </c>
      <c r="C14" s="13">
        <f>TEXT(MOD(TIMEVALUE(C5)+20/1440,1),"HH:MM")</f>
        <v/>
      </c>
      <c r="D14" s="13">
        <f>TEXT(MOD(TIMEVALUE(D5)+20/1440,1),"HH:MM")</f>
        <v/>
      </c>
      <c r="E14" s="13">
        <f>TEXT(MOD(TIMEVALUE(E5)+20/1440,1),"HH:MM")</f>
        <v/>
      </c>
      <c r="F14" s="13">
        <f>TEXT(MOD(TIMEVALUE(F5)+20/1440,1),"HH:MM")</f>
        <v/>
      </c>
      <c r="G14" s="13">
        <f>TEXT(MOD(TIMEVALUE(G5)+20/1440,1),"HH:MM")</f>
        <v/>
      </c>
      <c r="H14" s="13">
        <f>TEXT(MOD(TIMEVALUE(H5)+20/1440,1),"HH:MM")</f>
        <v/>
      </c>
      <c r="I14" s="13">
        <f>TEXT(MOD(TIMEVALUE(I5)+20/1440,1),"HH:MM")</f>
        <v/>
      </c>
      <c r="J14" s="13">
        <f>TEXT(MOD(TIMEVALUE(J5)+20/1440,1),"HH:MM")</f>
        <v/>
      </c>
      <c r="K14" s="13">
        <f>TEXT(MOD(TIMEVALUE(K5)+20/1440,1),"HH:MM")</f>
        <v/>
      </c>
      <c r="L14" s="13">
        <f>TEXT(MOD(TIMEVALUE(L5)+20/1440,1),"HH:MM")</f>
        <v/>
      </c>
      <c r="M14" s="13">
        <f>TEXT(MOD(TIMEVALUE(M5)+20/1440,1),"HH:MM")</f>
        <v/>
      </c>
      <c r="N14" s="13">
        <f>TEXT(MOD(TIMEVALUE(N5)+20/1440,1),"HH:MM")</f>
        <v/>
      </c>
      <c r="O14" s="13">
        <f>TEXT(MOD(TIMEVALUE(O5)+20/1440,1),"HH:MM")</f>
        <v/>
      </c>
      <c r="P14" s="13">
        <f>TEXT(MOD(TIMEVALUE(P5)+20/1440,1),"HH:MM")</f>
        <v/>
      </c>
      <c r="Q14" s="13">
        <f>TEXT(MOD(TIMEVALUE(Q5)+20/1440,1),"HH:MM")</f>
        <v/>
      </c>
      <c r="R14" s="13">
        <f>TEXT(MOD(TIMEVALUE(R5)+20/1440,1),"HH:MM")</f>
        <v/>
      </c>
      <c r="S14" s="13">
        <f>TEXT(MOD(TIMEVALUE(S5)+20/1440,1),"HH:MM")</f>
        <v/>
      </c>
      <c r="T14" s="13">
        <f>TEXT(MOD(TIMEVALUE(T5)+20/1440,1),"HH:MM")</f>
        <v/>
      </c>
      <c r="U14" s="13">
        <f>TEXT(MOD(TIMEVALUE(U5)+20/1440,1),"HH:MM")</f>
        <v/>
      </c>
      <c r="V14" s="13">
        <f>TEXT(MOD(TIMEVALUE(V5)+20/1440,1),"HH:MM")</f>
        <v/>
      </c>
      <c r="W14" s="13">
        <f>TEXT(MOD(TIMEVALUE(W5)+20/1440,1),"HH:MM")</f>
        <v/>
      </c>
      <c r="X14" s="13">
        <f>TEXT(MOD(TIMEVALUE(X5)+20/1440,1),"HH:MM")</f>
        <v/>
      </c>
      <c r="Y14" s="13">
        <f>TEXT(MOD(TIMEVALUE(Y5)+20/1440,1),"HH:MM")</f>
        <v/>
      </c>
      <c r="Z14" s="13">
        <f>TEXT(MOD(TIMEVALUE(Z5)+20/1440,1),"HH:MM")</f>
        <v/>
      </c>
      <c r="AA14" s="13">
        <f>TEXT(MOD(TIMEVALUE(AA5)+20/1440,1),"HH:MM")</f>
        <v/>
      </c>
      <c r="AB14" s="13">
        <f>TEXT(MOD(TIMEVALUE(AB5)+20/1440,1),"HH:MM")</f>
        <v/>
      </c>
      <c r="AC14" s="13">
        <f>TEXT(MOD(TIMEVALUE(AC5)+20/1440,1),"HH:MM")</f>
        <v/>
      </c>
      <c r="AD14" s="13">
        <f>TEXT(MOD(TIMEVALUE(AD5)+20/1440,1),"HH:MM")</f>
        <v/>
      </c>
      <c r="AE14" s="13">
        <f>TEXT(MOD(TIMEVALUE(AE5)+20/1440,1),"HH:MM")</f>
        <v/>
      </c>
      <c r="AF14" s="13">
        <f>TEXT(MOD(TIMEVALUE(AF5)+20/1440,1),"HH:MM")</f>
        <v/>
      </c>
      <c r="AG14" s="13">
        <f>TEXT(MOD(TIMEVALUE(AG5)+20/1440,1),"HH:MM")</f>
        <v/>
      </c>
      <c r="AH14" s="13">
        <f>TEXT(MOD(TIMEVALUE(AH5)+20/1440,1),"HH:MM")</f>
        <v/>
      </c>
      <c r="AI14" s="13">
        <f>TEXT(MOD(TIMEVALUE(AI5)+20/1440,1),"HH:MM")</f>
        <v/>
      </c>
      <c r="AJ14" s="13">
        <f>TEXT(MOD(TIMEVALUE(AJ5)+20/1440,1),"HH:MM")</f>
        <v/>
      </c>
      <c r="AK14" s="13">
        <f>TEXT(MOD(TIMEVALUE(AK5)+20/1440,1),"HH:MM")</f>
        <v/>
      </c>
      <c r="AL14" s="13">
        <f>TEXT(MOD(TIMEVALUE(AL5)+20/1440,1),"HH:MM")</f>
        <v/>
      </c>
      <c r="AM14" s="13">
        <f>TEXT(MOD(TIMEVALUE(AM5)+20/1440,1),"HH:MM")</f>
        <v/>
      </c>
      <c r="AN14" s="13">
        <f>TEXT(MOD(TIMEVALUE(AN5)+20/1440,1),"HH:MM")</f>
        <v/>
      </c>
      <c r="AO14" s="13">
        <f>TEXT(MOD(TIMEVALUE(AO5)+20/1440,1),"HH:MM")</f>
        <v/>
      </c>
      <c r="AP14" s="13">
        <f>TEXT(MOD(TIMEVALUE(AP5)+20/1440,1),"HH:MM")</f>
        <v/>
      </c>
      <c r="AQ14" s="13">
        <f>TEXT(MOD(TIMEVALUE(AQ5)+20/1440,1),"HH:MM")</f>
        <v/>
      </c>
      <c r="AR14" s="13">
        <f>TEXT(MOD(TIMEVALUE(AR5)+20/1440,1),"HH:MM")</f>
        <v/>
      </c>
      <c r="AS14" s="13">
        <f>TEXT(MOD(TIMEVALUE(AS5)+20/1440,1),"HH:MM")</f>
        <v/>
      </c>
      <c r="AT14" s="13">
        <f>TEXT(MOD(TIMEVALUE(AT5)+20/1440,1),"HH:MM")</f>
        <v/>
      </c>
      <c r="AU14" s="13">
        <f>TEXT(MOD(TIMEVALUE(AU5)+20/1440,1),"HH:MM")</f>
        <v/>
      </c>
      <c r="AV14" s="13">
        <f>TEXT(MOD(TIMEVALUE(AV5)+20/1440,1),"HH:MM")</f>
        <v/>
      </c>
      <c r="AW14" s="13">
        <f>TEXT(MOD(TIMEVALUE(AW5)+20/1440,1),"HH:MM")</f>
        <v/>
      </c>
      <c r="AX14" s="13">
        <f>TEXT(MOD(TIMEVALUE(AX5)+20/1440,1),"HH:MM")</f>
        <v/>
      </c>
      <c r="AY14" s="13">
        <f>TEXT(MOD(TIMEVALUE(AY5)+20/1440,1),"HH:MM")</f>
        <v/>
      </c>
      <c r="AZ14" s="13">
        <f>TEXT(MOD(TIMEVALUE(AZ5)+20/1440,1),"HH:MM")</f>
        <v/>
      </c>
      <c r="BA14" s="13">
        <f>TEXT(MOD(TIMEVALUE(BA5)+20/1440,1),"HH:MM")</f>
        <v/>
      </c>
      <c r="BB14" s="13">
        <f>TEXT(MOD(TIMEVALUE(BB5)+20/1440,1),"HH:MM")</f>
        <v/>
      </c>
      <c r="BC14" s="13">
        <f>TEXT(MOD(TIMEVALUE(BC5)+20/1440,1),"HH:MM")</f>
        <v/>
      </c>
      <c r="BD14" s="13">
        <f>TEXT(MOD(TIMEVALUE(BD5)+20/1440,1),"HH:MM")</f>
        <v/>
      </c>
      <c r="BE14" s="13">
        <f>TEXT(MOD(TIMEVALUE(BE5)+20/1440,1),"HH:MM")</f>
        <v/>
      </c>
      <c r="BF14" s="13">
        <f>TEXT(MOD(TIMEVALUE(BF5)+20/1440,1),"HH:MM")</f>
        <v/>
      </c>
      <c r="BG14" s="13">
        <f>TEXT(MOD(TIMEVALUE(BG5)+20/1440,1),"HH:MM")</f>
        <v/>
      </c>
      <c r="BH14" s="13">
        <f>TEXT(MOD(TIMEVALUE(BH5)+20/1440,1),"HH:MM")</f>
        <v/>
      </c>
      <c r="BI14" s="13">
        <f>TEXT(MOD(TIMEVALUE(BI5)+20/1440,1),"HH:MM")</f>
        <v/>
      </c>
      <c r="BJ14" s="13">
        <f>TEXT(MOD(TIMEVALUE(BJ5)+20/1440,1),"HH:MM")</f>
        <v/>
      </c>
      <c r="BK14" s="13">
        <f>TEXT(MOD(TIMEVALUE(BK5)+20/1440,1),"HH:MM")</f>
        <v/>
      </c>
      <c r="BL14" s="13">
        <f>TEXT(MOD(TIMEVALUE(BL5)+20/1440,1),"HH:MM")</f>
        <v/>
      </c>
      <c r="BM14" s="13">
        <f>TEXT(MOD(TIMEVALUE(BM5)+20/1440,1),"HH:MM")</f>
        <v/>
      </c>
    </row>
    <row r="15" ht="16.5" customHeight="1" s="26">
      <c r="A15" s="14" t="inlineStr">
        <is>
          <t>Pedro Podestá</t>
        </is>
      </c>
      <c r="B15" s="15">
        <f>TEXT(MOD(TIMEVALUE(B5)+22/1440,1),"HH:MM")</f>
        <v/>
      </c>
      <c r="C15" s="15">
        <f>TEXT(MOD(TIMEVALUE(C5)+22/1440,1),"HH:MM")</f>
        <v/>
      </c>
      <c r="D15" s="15">
        <f>TEXT(MOD(TIMEVALUE(D5)+22/1440,1),"HH:MM")</f>
        <v/>
      </c>
      <c r="E15" s="15">
        <f>TEXT(MOD(TIMEVALUE(E5)+22/1440,1),"HH:MM")</f>
        <v/>
      </c>
      <c r="F15" s="15">
        <f>TEXT(MOD(TIMEVALUE(F5)+22/1440,1),"HH:MM")</f>
        <v/>
      </c>
      <c r="G15" s="15">
        <f>TEXT(MOD(TIMEVALUE(G5)+22/1440,1),"HH:MM")</f>
        <v/>
      </c>
      <c r="H15" s="15">
        <f>TEXT(MOD(TIMEVALUE(H5)+22/1440,1),"HH:MM")</f>
        <v/>
      </c>
      <c r="I15" s="15">
        <f>TEXT(MOD(TIMEVALUE(I5)+22/1440,1),"HH:MM")</f>
        <v/>
      </c>
      <c r="J15" s="15">
        <f>TEXT(MOD(TIMEVALUE(J5)+22/1440,1),"HH:MM")</f>
        <v/>
      </c>
      <c r="K15" s="15">
        <f>TEXT(MOD(TIMEVALUE(K5)+22/1440,1),"HH:MM")</f>
        <v/>
      </c>
      <c r="L15" s="15">
        <f>TEXT(MOD(TIMEVALUE(L5)+22/1440,1),"HH:MM")</f>
        <v/>
      </c>
      <c r="M15" s="15">
        <f>TEXT(MOD(TIMEVALUE(M5)+22/1440,1),"HH:MM")</f>
        <v/>
      </c>
      <c r="N15" s="15">
        <f>TEXT(MOD(TIMEVALUE(N5)+22/1440,1),"HH:MM")</f>
        <v/>
      </c>
      <c r="O15" s="15">
        <f>TEXT(MOD(TIMEVALUE(O5)+22/1440,1),"HH:MM")</f>
        <v/>
      </c>
      <c r="P15" s="15">
        <f>TEXT(MOD(TIMEVALUE(P5)+22/1440,1),"HH:MM")</f>
        <v/>
      </c>
      <c r="Q15" s="15">
        <f>TEXT(MOD(TIMEVALUE(Q5)+22/1440,1),"HH:MM")</f>
        <v/>
      </c>
      <c r="R15" s="15">
        <f>TEXT(MOD(TIMEVALUE(R5)+22/1440,1),"HH:MM")</f>
        <v/>
      </c>
      <c r="S15" s="15">
        <f>TEXT(MOD(TIMEVALUE(S5)+22/1440,1),"HH:MM")</f>
        <v/>
      </c>
      <c r="T15" s="15">
        <f>TEXT(MOD(TIMEVALUE(T5)+22/1440,1),"HH:MM")</f>
        <v/>
      </c>
      <c r="U15" s="15">
        <f>TEXT(MOD(TIMEVALUE(U5)+22/1440,1),"HH:MM")</f>
        <v/>
      </c>
      <c r="V15" s="15">
        <f>TEXT(MOD(TIMEVALUE(V5)+22/1440,1),"HH:MM")</f>
        <v/>
      </c>
      <c r="W15" s="15">
        <f>TEXT(MOD(TIMEVALUE(W5)+22/1440,1),"HH:MM")</f>
        <v/>
      </c>
      <c r="X15" s="15">
        <f>TEXT(MOD(TIMEVALUE(X5)+22/1440,1),"HH:MM")</f>
        <v/>
      </c>
      <c r="Y15" s="15">
        <f>TEXT(MOD(TIMEVALUE(Y5)+22/1440,1),"HH:MM")</f>
        <v/>
      </c>
      <c r="Z15" s="15">
        <f>TEXT(MOD(TIMEVALUE(Z5)+22/1440,1),"HH:MM")</f>
        <v/>
      </c>
      <c r="AA15" s="15">
        <f>TEXT(MOD(TIMEVALUE(AA5)+22/1440,1),"HH:MM")</f>
        <v/>
      </c>
      <c r="AB15" s="15">
        <f>TEXT(MOD(TIMEVALUE(AB5)+22/1440,1),"HH:MM")</f>
        <v/>
      </c>
      <c r="AC15" s="15">
        <f>TEXT(MOD(TIMEVALUE(AC5)+22/1440,1),"HH:MM")</f>
        <v/>
      </c>
      <c r="AD15" s="15">
        <f>TEXT(MOD(TIMEVALUE(AD5)+22/1440,1),"HH:MM")</f>
        <v/>
      </c>
      <c r="AE15" s="15">
        <f>TEXT(MOD(TIMEVALUE(AE5)+22/1440,1),"HH:MM")</f>
        <v/>
      </c>
      <c r="AF15" s="15">
        <f>TEXT(MOD(TIMEVALUE(AF5)+22/1440,1),"HH:MM")</f>
        <v/>
      </c>
      <c r="AG15" s="15">
        <f>TEXT(MOD(TIMEVALUE(AG5)+22/1440,1),"HH:MM")</f>
        <v/>
      </c>
      <c r="AH15" s="15">
        <f>TEXT(MOD(TIMEVALUE(AH5)+22/1440,1),"HH:MM")</f>
        <v/>
      </c>
      <c r="AI15" s="15">
        <f>TEXT(MOD(TIMEVALUE(AI5)+22/1440,1),"HH:MM")</f>
        <v/>
      </c>
      <c r="AJ15" s="15">
        <f>TEXT(MOD(TIMEVALUE(AJ5)+22/1440,1),"HH:MM")</f>
        <v/>
      </c>
      <c r="AK15" s="15">
        <f>TEXT(MOD(TIMEVALUE(AK5)+22/1440,1),"HH:MM")</f>
        <v/>
      </c>
      <c r="AL15" s="15">
        <f>TEXT(MOD(TIMEVALUE(AL5)+22/1440,1),"HH:MM")</f>
        <v/>
      </c>
      <c r="AM15" s="15">
        <f>TEXT(MOD(TIMEVALUE(AM5)+22/1440,1),"HH:MM")</f>
        <v/>
      </c>
      <c r="AN15" s="15">
        <f>TEXT(MOD(TIMEVALUE(AN5)+22/1440,1),"HH:MM")</f>
        <v/>
      </c>
      <c r="AO15" s="15">
        <f>TEXT(MOD(TIMEVALUE(AO5)+22/1440,1),"HH:MM")</f>
        <v/>
      </c>
      <c r="AP15" s="15">
        <f>TEXT(MOD(TIMEVALUE(AP5)+22/1440,1),"HH:MM")</f>
        <v/>
      </c>
      <c r="AQ15" s="15">
        <f>TEXT(MOD(TIMEVALUE(AQ5)+22/1440,1),"HH:MM")</f>
        <v/>
      </c>
      <c r="AR15" s="15">
        <f>TEXT(MOD(TIMEVALUE(AR5)+22/1440,1),"HH:MM")</f>
        <v/>
      </c>
      <c r="AS15" s="15">
        <f>TEXT(MOD(TIMEVALUE(AS5)+22/1440,1),"HH:MM")</f>
        <v/>
      </c>
      <c r="AT15" s="15">
        <f>TEXT(MOD(TIMEVALUE(AT5)+22/1440,1),"HH:MM")</f>
        <v/>
      </c>
      <c r="AU15" s="15">
        <f>TEXT(MOD(TIMEVALUE(AU5)+22/1440,1),"HH:MM")</f>
        <v/>
      </c>
      <c r="AV15" s="15">
        <f>TEXT(MOD(TIMEVALUE(AV5)+22/1440,1),"HH:MM")</f>
        <v/>
      </c>
      <c r="AW15" s="15">
        <f>TEXT(MOD(TIMEVALUE(AW5)+22/1440,1),"HH:MM")</f>
        <v/>
      </c>
      <c r="AX15" s="15">
        <f>TEXT(MOD(TIMEVALUE(AX5)+22/1440,1),"HH:MM")</f>
        <v/>
      </c>
      <c r="AY15" s="15">
        <f>TEXT(MOD(TIMEVALUE(AY5)+22/1440,1),"HH:MM")</f>
        <v/>
      </c>
      <c r="AZ15" s="15">
        <f>TEXT(MOD(TIMEVALUE(AZ5)+22/1440,1),"HH:MM")</f>
        <v/>
      </c>
      <c r="BA15" s="15">
        <f>TEXT(MOD(TIMEVALUE(BA5)+22/1440,1),"HH:MM")</f>
        <v/>
      </c>
      <c r="BB15" s="15">
        <f>TEXT(MOD(TIMEVALUE(BB5)+22/1440,1),"HH:MM")</f>
        <v/>
      </c>
      <c r="BC15" s="15">
        <f>TEXT(MOD(TIMEVALUE(BC5)+22/1440,1),"HH:MM")</f>
        <v/>
      </c>
      <c r="BD15" s="15">
        <f>TEXT(MOD(TIMEVALUE(BD5)+22/1440,1),"HH:MM")</f>
        <v/>
      </c>
      <c r="BE15" s="15">
        <f>TEXT(MOD(TIMEVALUE(BE5)+22/1440,1),"HH:MM")</f>
        <v/>
      </c>
      <c r="BF15" s="15">
        <f>TEXT(MOD(TIMEVALUE(BF5)+22/1440,1),"HH:MM")</f>
        <v/>
      </c>
      <c r="BG15" s="15">
        <f>TEXT(MOD(TIMEVALUE(BG5)+22/1440,1),"HH:MM")</f>
        <v/>
      </c>
      <c r="BH15" s="15">
        <f>TEXT(MOD(TIMEVALUE(BH5)+22/1440,1),"HH:MM")</f>
        <v/>
      </c>
      <c r="BI15" s="15">
        <f>TEXT(MOD(TIMEVALUE(BI5)+22/1440,1),"HH:MM")</f>
        <v/>
      </c>
      <c r="BJ15" s="15">
        <f>TEXT(MOD(TIMEVALUE(BJ5)+22/1440,1),"HH:MM")</f>
        <v/>
      </c>
      <c r="BK15" s="15">
        <f>TEXT(MOD(TIMEVALUE(BK5)+22/1440,1),"HH:MM")</f>
        <v/>
      </c>
      <c r="BL15" s="15">
        <f>TEXT(MOD(TIMEVALUE(BL5)+22/1440,1),"HH:MM")</f>
        <v/>
      </c>
      <c r="BM15" s="15">
        <f>TEXT(MOD(TIMEVALUE(BM5)+22/1440,1),"HH:MM")</f>
        <v/>
      </c>
    </row>
    <row r="16" ht="16.5" customHeight="1" s="26">
      <c r="A16" s="12" t="inlineStr">
        <is>
          <t>Martín Coronado</t>
        </is>
      </c>
      <c r="B16" s="13">
        <f>TEXT(MOD(TIMEVALUE(B5)+24/1440,1),"HH:MM")</f>
        <v/>
      </c>
      <c r="C16" s="13">
        <f>TEXT(MOD(TIMEVALUE(C5)+24/1440,1),"HH:MM")</f>
        <v/>
      </c>
      <c r="D16" s="13">
        <f>TEXT(MOD(TIMEVALUE(D5)+24/1440,1),"HH:MM")</f>
        <v/>
      </c>
      <c r="E16" s="13">
        <f>TEXT(MOD(TIMEVALUE(E5)+24/1440,1),"HH:MM")</f>
        <v/>
      </c>
      <c r="F16" s="13">
        <f>TEXT(MOD(TIMEVALUE(F5)+24/1440,1),"HH:MM")</f>
        <v/>
      </c>
      <c r="G16" s="13">
        <f>TEXT(MOD(TIMEVALUE(G5)+24/1440,1),"HH:MM")</f>
        <v/>
      </c>
      <c r="H16" s="13">
        <f>TEXT(MOD(TIMEVALUE(H5)+24/1440,1),"HH:MM")</f>
        <v/>
      </c>
      <c r="I16" s="13">
        <f>TEXT(MOD(TIMEVALUE(I5)+24/1440,1),"HH:MM")</f>
        <v/>
      </c>
      <c r="J16" s="13">
        <f>TEXT(MOD(TIMEVALUE(J5)+24/1440,1),"HH:MM")</f>
        <v/>
      </c>
      <c r="K16" s="13">
        <f>TEXT(MOD(TIMEVALUE(K5)+24/1440,1),"HH:MM")</f>
        <v/>
      </c>
      <c r="L16" s="13">
        <f>TEXT(MOD(TIMEVALUE(L5)+24/1440,1),"HH:MM")</f>
        <v/>
      </c>
      <c r="M16" s="13">
        <f>TEXT(MOD(TIMEVALUE(M5)+24/1440,1),"HH:MM")</f>
        <v/>
      </c>
      <c r="N16" s="13">
        <f>TEXT(MOD(TIMEVALUE(N5)+24/1440,1),"HH:MM")</f>
        <v/>
      </c>
      <c r="O16" s="13">
        <f>TEXT(MOD(TIMEVALUE(O5)+24/1440,1),"HH:MM")</f>
        <v/>
      </c>
      <c r="P16" s="13">
        <f>TEXT(MOD(TIMEVALUE(P5)+24/1440,1),"HH:MM")</f>
        <v/>
      </c>
      <c r="Q16" s="13">
        <f>TEXT(MOD(TIMEVALUE(Q5)+24/1440,1),"HH:MM")</f>
        <v/>
      </c>
      <c r="R16" s="13">
        <f>TEXT(MOD(TIMEVALUE(R5)+24/1440,1),"HH:MM")</f>
        <v/>
      </c>
      <c r="S16" s="13">
        <f>TEXT(MOD(TIMEVALUE(S5)+24/1440,1),"HH:MM")</f>
        <v/>
      </c>
      <c r="T16" s="13">
        <f>TEXT(MOD(TIMEVALUE(T5)+24/1440,1),"HH:MM")</f>
        <v/>
      </c>
      <c r="U16" s="13">
        <f>TEXT(MOD(TIMEVALUE(U5)+24/1440,1),"HH:MM")</f>
        <v/>
      </c>
      <c r="V16" s="13">
        <f>TEXT(MOD(TIMEVALUE(V5)+24/1440,1),"HH:MM")</f>
        <v/>
      </c>
      <c r="W16" s="13">
        <f>TEXT(MOD(TIMEVALUE(W5)+24/1440,1),"HH:MM")</f>
        <v/>
      </c>
      <c r="X16" s="13">
        <f>TEXT(MOD(TIMEVALUE(X5)+24/1440,1),"HH:MM")</f>
        <v/>
      </c>
      <c r="Y16" s="13">
        <f>TEXT(MOD(TIMEVALUE(Y5)+24/1440,1),"HH:MM")</f>
        <v/>
      </c>
      <c r="Z16" s="13">
        <f>TEXT(MOD(TIMEVALUE(Z5)+24/1440,1),"HH:MM")</f>
        <v/>
      </c>
      <c r="AA16" s="13">
        <f>TEXT(MOD(TIMEVALUE(AA5)+24/1440,1),"HH:MM")</f>
        <v/>
      </c>
      <c r="AB16" s="13">
        <f>TEXT(MOD(TIMEVALUE(AB5)+24/1440,1),"HH:MM")</f>
        <v/>
      </c>
      <c r="AC16" s="13">
        <f>TEXT(MOD(TIMEVALUE(AC5)+24/1440,1),"HH:MM")</f>
        <v/>
      </c>
      <c r="AD16" s="13">
        <f>TEXT(MOD(TIMEVALUE(AD5)+24/1440,1),"HH:MM")</f>
        <v/>
      </c>
      <c r="AE16" s="13">
        <f>TEXT(MOD(TIMEVALUE(AE5)+24/1440,1),"HH:MM")</f>
        <v/>
      </c>
      <c r="AF16" s="13">
        <f>TEXT(MOD(TIMEVALUE(AF5)+24/1440,1),"HH:MM")</f>
        <v/>
      </c>
      <c r="AG16" s="13">
        <f>TEXT(MOD(TIMEVALUE(AG5)+24/1440,1),"HH:MM")</f>
        <v/>
      </c>
      <c r="AH16" s="13">
        <f>TEXT(MOD(TIMEVALUE(AH5)+24/1440,1),"HH:MM")</f>
        <v/>
      </c>
      <c r="AI16" s="13">
        <f>TEXT(MOD(TIMEVALUE(AI5)+24/1440,1),"HH:MM")</f>
        <v/>
      </c>
      <c r="AJ16" s="13">
        <f>TEXT(MOD(TIMEVALUE(AJ5)+24/1440,1),"HH:MM")</f>
        <v/>
      </c>
      <c r="AK16" s="13">
        <f>TEXT(MOD(TIMEVALUE(AK5)+24/1440,1),"HH:MM")</f>
        <v/>
      </c>
      <c r="AL16" s="13">
        <f>TEXT(MOD(TIMEVALUE(AL5)+24/1440,1),"HH:MM")</f>
        <v/>
      </c>
      <c r="AM16" s="13">
        <f>TEXT(MOD(TIMEVALUE(AM5)+24/1440,1),"HH:MM")</f>
        <v/>
      </c>
      <c r="AN16" s="13">
        <f>TEXT(MOD(TIMEVALUE(AN5)+24/1440,1),"HH:MM")</f>
        <v/>
      </c>
      <c r="AO16" s="13">
        <f>TEXT(MOD(TIMEVALUE(AO5)+24/1440,1),"HH:MM")</f>
        <v/>
      </c>
      <c r="AP16" s="13">
        <f>TEXT(MOD(TIMEVALUE(AP5)+24/1440,1),"HH:MM")</f>
        <v/>
      </c>
      <c r="AQ16" s="13">
        <f>TEXT(MOD(TIMEVALUE(AQ5)+24/1440,1),"HH:MM")</f>
        <v/>
      </c>
      <c r="AR16" s="13">
        <f>TEXT(MOD(TIMEVALUE(AR5)+24/1440,1),"HH:MM")</f>
        <v/>
      </c>
      <c r="AS16" s="13">
        <f>TEXT(MOD(TIMEVALUE(AS5)+24/1440,1),"HH:MM")</f>
        <v/>
      </c>
      <c r="AT16" s="13">
        <f>TEXT(MOD(TIMEVALUE(AT5)+24/1440,1),"HH:MM")</f>
        <v/>
      </c>
      <c r="AU16" s="13">
        <f>TEXT(MOD(TIMEVALUE(AU5)+24/1440,1),"HH:MM")</f>
        <v/>
      </c>
      <c r="AV16" s="13">
        <f>TEXT(MOD(TIMEVALUE(AV5)+24/1440,1),"HH:MM")</f>
        <v/>
      </c>
      <c r="AW16" s="13">
        <f>TEXT(MOD(TIMEVALUE(AW5)+24/1440,1),"HH:MM")</f>
        <v/>
      </c>
      <c r="AX16" s="13">
        <f>TEXT(MOD(TIMEVALUE(AX5)+24/1440,1),"HH:MM")</f>
        <v/>
      </c>
      <c r="AY16" s="13">
        <f>TEXT(MOD(TIMEVALUE(AY5)+24/1440,1),"HH:MM")</f>
        <v/>
      </c>
      <c r="AZ16" s="13">
        <f>TEXT(MOD(TIMEVALUE(AZ5)+24/1440,1),"HH:MM")</f>
        <v/>
      </c>
      <c r="BA16" s="13">
        <f>TEXT(MOD(TIMEVALUE(BA5)+24/1440,1),"HH:MM")</f>
        <v/>
      </c>
      <c r="BB16" s="13">
        <f>TEXT(MOD(TIMEVALUE(BB5)+24/1440,1),"HH:MM")</f>
        <v/>
      </c>
      <c r="BC16" s="13">
        <f>TEXT(MOD(TIMEVALUE(BC5)+24/1440,1),"HH:MM")</f>
        <v/>
      </c>
      <c r="BD16" s="13">
        <f>TEXT(MOD(TIMEVALUE(BD5)+24/1440,1),"HH:MM")</f>
        <v/>
      </c>
      <c r="BE16" s="13">
        <f>TEXT(MOD(TIMEVALUE(BE5)+24/1440,1),"HH:MM")</f>
        <v/>
      </c>
      <c r="BF16" s="13">
        <f>TEXT(MOD(TIMEVALUE(BF5)+24/1440,1),"HH:MM")</f>
        <v/>
      </c>
      <c r="BG16" s="13">
        <f>TEXT(MOD(TIMEVALUE(BG5)+24/1440,1),"HH:MM")</f>
        <v/>
      </c>
      <c r="BH16" s="13">
        <f>TEXT(MOD(TIMEVALUE(BH5)+24/1440,1),"HH:MM")</f>
        <v/>
      </c>
      <c r="BI16" s="13">
        <f>TEXT(MOD(TIMEVALUE(BI5)+24/1440,1),"HH:MM")</f>
        <v/>
      </c>
      <c r="BJ16" s="13">
        <f>TEXT(MOD(TIMEVALUE(BJ5)+24/1440,1),"HH:MM")</f>
        <v/>
      </c>
      <c r="BK16" s="13">
        <f>TEXT(MOD(TIMEVALUE(BK5)+24/1440,1),"HH:MM")</f>
        <v/>
      </c>
      <c r="BL16" s="13">
        <f>TEXT(MOD(TIMEVALUE(BL5)+24/1440,1),"HH:MM")</f>
        <v/>
      </c>
      <c r="BM16" s="13">
        <f>TEXT(MOD(TIMEVALUE(BM5)+24/1440,1),"HH:MM")</f>
        <v/>
      </c>
    </row>
    <row r="17" ht="16.5" customHeight="1" s="26">
      <c r="A17" s="14" t="inlineStr">
        <is>
          <t>José M. Bosch</t>
        </is>
      </c>
      <c r="B17" s="15">
        <f>TEXT(MOD(TIMEVALUE(B5)+27/1440,1),"HH:MM")</f>
        <v/>
      </c>
      <c r="C17" s="15">
        <f>TEXT(MOD(TIMEVALUE(C5)+27/1440,1),"HH:MM")</f>
        <v/>
      </c>
      <c r="D17" s="15">
        <f>TEXT(MOD(TIMEVALUE(D5)+27/1440,1),"HH:MM")</f>
        <v/>
      </c>
      <c r="E17" s="15">
        <f>TEXT(MOD(TIMEVALUE(E5)+27/1440,1),"HH:MM")</f>
        <v/>
      </c>
      <c r="F17" s="15">
        <f>TEXT(MOD(TIMEVALUE(F5)+27/1440,1),"HH:MM")</f>
        <v/>
      </c>
      <c r="G17" s="15">
        <f>TEXT(MOD(TIMEVALUE(G5)+27/1440,1),"HH:MM")</f>
        <v/>
      </c>
      <c r="H17" s="15">
        <f>TEXT(MOD(TIMEVALUE(H5)+27/1440,1),"HH:MM")</f>
        <v/>
      </c>
      <c r="I17" s="15">
        <f>TEXT(MOD(TIMEVALUE(I5)+27/1440,1),"HH:MM")</f>
        <v/>
      </c>
      <c r="J17" s="15">
        <f>TEXT(MOD(TIMEVALUE(J5)+27/1440,1),"HH:MM")</f>
        <v/>
      </c>
      <c r="K17" s="15">
        <f>TEXT(MOD(TIMEVALUE(K5)+27/1440,1),"HH:MM")</f>
        <v/>
      </c>
      <c r="L17" s="15">
        <f>TEXT(MOD(TIMEVALUE(L5)+27/1440,1),"HH:MM")</f>
        <v/>
      </c>
      <c r="M17" s="15">
        <f>TEXT(MOD(TIMEVALUE(M5)+27/1440,1),"HH:MM")</f>
        <v/>
      </c>
      <c r="N17" s="15">
        <f>TEXT(MOD(TIMEVALUE(N5)+27/1440,1),"HH:MM")</f>
        <v/>
      </c>
      <c r="O17" s="15">
        <f>TEXT(MOD(TIMEVALUE(O5)+27/1440,1),"HH:MM")</f>
        <v/>
      </c>
      <c r="P17" s="15">
        <f>TEXT(MOD(TIMEVALUE(P5)+27/1440,1),"HH:MM")</f>
        <v/>
      </c>
      <c r="Q17" s="15">
        <f>TEXT(MOD(TIMEVALUE(Q5)+27/1440,1),"HH:MM")</f>
        <v/>
      </c>
      <c r="R17" s="15">
        <f>TEXT(MOD(TIMEVALUE(R5)+27/1440,1),"HH:MM")</f>
        <v/>
      </c>
      <c r="S17" s="15">
        <f>TEXT(MOD(TIMEVALUE(S5)+27/1440,1),"HH:MM")</f>
        <v/>
      </c>
      <c r="T17" s="15">
        <f>TEXT(MOD(TIMEVALUE(T5)+27/1440,1),"HH:MM")</f>
        <v/>
      </c>
      <c r="U17" s="15">
        <f>TEXT(MOD(TIMEVALUE(U5)+27/1440,1),"HH:MM")</f>
        <v/>
      </c>
      <c r="V17" s="15">
        <f>TEXT(MOD(TIMEVALUE(V5)+27/1440,1),"HH:MM")</f>
        <v/>
      </c>
      <c r="W17" s="15">
        <f>TEXT(MOD(TIMEVALUE(W5)+27/1440,1),"HH:MM")</f>
        <v/>
      </c>
      <c r="X17" s="15">
        <f>TEXT(MOD(TIMEVALUE(X5)+27/1440,1),"HH:MM")</f>
        <v/>
      </c>
      <c r="Y17" s="15">
        <f>TEXT(MOD(TIMEVALUE(Y5)+27/1440,1),"HH:MM")</f>
        <v/>
      </c>
      <c r="Z17" s="15">
        <f>TEXT(MOD(TIMEVALUE(Z5)+27/1440,1),"HH:MM")</f>
        <v/>
      </c>
      <c r="AA17" s="15">
        <f>TEXT(MOD(TIMEVALUE(AA5)+27/1440,1),"HH:MM")</f>
        <v/>
      </c>
      <c r="AB17" s="15">
        <f>TEXT(MOD(TIMEVALUE(AB5)+27/1440,1),"HH:MM")</f>
        <v/>
      </c>
      <c r="AC17" s="15">
        <f>TEXT(MOD(TIMEVALUE(AC5)+27/1440,1),"HH:MM")</f>
        <v/>
      </c>
      <c r="AD17" s="15">
        <f>TEXT(MOD(TIMEVALUE(AD5)+27/1440,1),"HH:MM")</f>
        <v/>
      </c>
      <c r="AE17" s="15">
        <f>TEXT(MOD(TIMEVALUE(AE5)+27/1440,1),"HH:MM")</f>
        <v/>
      </c>
      <c r="AF17" s="15">
        <f>TEXT(MOD(TIMEVALUE(AF5)+27/1440,1),"HH:MM")</f>
        <v/>
      </c>
      <c r="AG17" s="15">
        <f>TEXT(MOD(TIMEVALUE(AG5)+27/1440,1),"HH:MM")</f>
        <v/>
      </c>
      <c r="AH17" s="15">
        <f>TEXT(MOD(TIMEVALUE(AH5)+27/1440,1),"HH:MM")</f>
        <v/>
      </c>
      <c r="AI17" s="15">
        <f>TEXT(MOD(TIMEVALUE(AI5)+27/1440,1),"HH:MM")</f>
        <v/>
      </c>
      <c r="AJ17" s="15">
        <f>TEXT(MOD(TIMEVALUE(AJ5)+27/1440,1),"HH:MM")</f>
        <v/>
      </c>
      <c r="AK17" s="15">
        <f>TEXT(MOD(TIMEVALUE(AK5)+27/1440,1),"HH:MM")</f>
        <v/>
      </c>
      <c r="AL17" s="15">
        <f>TEXT(MOD(TIMEVALUE(AL5)+27/1440,1),"HH:MM")</f>
        <v/>
      </c>
      <c r="AM17" s="15">
        <f>TEXT(MOD(TIMEVALUE(AM5)+27/1440,1),"HH:MM")</f>
        <v/>
      </c>
      <c r="AN17" s="15">
        <f>TEXT(MOD(TIMEVALUE(AN5)+27/1440,1),"HH:MM")</f>
        <v/>
      </c>
      <c r="AO17" s="15">
        <f>TEXT(MOD(TIMEVALUE(AO5)+27/1440,1),"HH:MM")</f>
        <v/>
      </c>
      <c r="AP17" s="15">
        <f>TEXT(MOD(TIMEVALUE(AP5)+27/1440,1),"HH:MM")</f>
        <v/>
      </c>
      <c r="AQ17" s="15">
        <f>TEXT(MOD(TIMEVALUE(AQ5)+27/1440,1),"HH:MM")</f>
        <v/>
      </c>
      <c r="AR17" s="15">
        <f>TEXT(MOD(TIMEVALUE(AR5)+27/1440,1),"HH:MM")</f>
        <v/>
      </c>
      <c r="AS17" s="15">
        <f>TEXT(MOD(TIMEVALUE(AS5)+27/1440,1),"HH:MM")</f>
        <v/>
      </c>
      <c r="AT17" s="15">
        <f>TEXT(MOD(TIMEVALUE(AT5)+27/1440,1),"HH:MM")</f>
        <v/>
      </c>
      <c r="AU17" s="15">
        <f>TEXT(MOD(TIMEVALUE(AU5)+27/1440,1),"HH:MM")</f>
        <v/>
      </c>
      <c r="AV17" s="15">
        <f>TEXT(MOD(TIMEVALUE(AV5)+27/1440,1),"HH:MM")</f>
        <v/>
      </c>
      <c r="AW17" s="15">
        <f>TEXT(MOD(TIMEVALUE(AW5)+27/1440,1),"HH:MM")</f>
        <v/>
      </c>
      <c r="AX17" s="15">
        <f>TEXT(MOD(TIMEVALUE(AX5)+27/1440,1),"HH:MM")</f>
        <v/>
      </c>
      <c r="AY17" s="15">
        <f>TEXT(MOD(TIMEVALUE(AY5)+27/1440,1),"HH:MM")</f>
        <v/>
      </c>
      <c r="AZ17" s="15">
        <f>TEXT(MOD(TIMEVALUE(AZ5)+27/1440,1),"HH:MM")</f>
        <v/>
      </c>
      <c r="BA17" s="15">
        <f>TEXT(MOD(TIMEVALUE(BA5)+27/1440,1),"HH:MM")</f>
        <v/>
      </c>
      <c r="BB17" s="15">
        <f>TEXT(MOD(TIMEVALUE(BB5)+27/1440,1),"HH:MM")</f>
        <v/>
      </c>
      <c r="BC17" s="15">
        <f>TEXT(MOD(TIMEVALUE(BC5)+27/1440,1),"HH:MM")</f>
        <v/>
      </c>
      <c r="BD17" s="15">
        <f>TEXT(MOD(TIMEVALUE(BD5)+27/1440,1),"HH:MM")</f>
        <v/>
      </c>
      <c r="BE17" s="15">
        <f>TEXT(MOD(TIMEVALUE(BE5)+27/1440,1),"HH:MM")</f>
        <v/>
      </c>
      <c r="BF17" s="15">
        <f>TEXT(MOD(TIMEVALUE(BF5)+27/1440,1),"HH:MM")</f>
        <v/>
      </c>
      <c r="BG17" s="15">
        <f>TEXT(MOD(TIMEVALUE(BG5)+27/1440,1),"HH:MM")</f>
        <v/>
      </c>
      <c r="BH17" s="15">
        <f>TEXT(MOD(TIMEVALUE(BH5)+27/1440,1),"HH:MM")</f>
        <v/>
      </c>
      <c r="BI17" s="15">
        <f>TEXT(MOD(TIMEVALUE(BI5)+27/1440,1),"HH:MM")</f>
        <v/>
      </c>
      <c r="BJ17" s="15">
        <f>TEXT(MOD(TIMEVALUE(BJ5)+27/1440,1),"HH:MM")</f>
        <v/>
      </c>
      <c r="BK17" s="15">
        <f>TEXT(MOD(TIMEVALUE(BK5)+27/1440,1),"HH:MM")</f>
        <v/>
      </c>
      <c r="BL17" s="15">
        <f>TEXT(MOD(TIMEVALUE(BL5)+27/1440,1),"HH:MM")</f>
        <v/>
      </c>
      <c r="BM17" s="15">
        <f>TEXT(MOD(TIMEVALUE(BM5)+27/1440,1),"HH:MM")</f>
        <v/>
      </c>
    </row>
    <row r="18" ht="16.5" customHeight="1" s="26">
      <c r="A18" s="12" t="inlineStr">
        <is>
          <t>Tropezón</t>
        </is>
      </c>
      <c r="B18" s="13">
        <f>TEXT(MOD(TIMEVALUE(B5)+29/1440,1),"HH:MM")</f>
        <v/>
      </c>
      <c r="C18" s="13">
        <f>TEXT(MOD(TIMEVALUE(C5)+29/1440,1),"HH:MM")</f>
        <v/>
      </c>
      <c r="D18" s="13">
        <f>TEXT(MOD(TIMEVALUE(D5)+29/1440,1),"HH:MM")</f>
        <v/>
      </c>
      <c r="E18" s="13">
        <f>TEXT(MOD(TIMEVALUE(E5)+29/1440,1),"HH:MM")</f>
        <v/>
      </c>
      <c r="F18" s="13">
        <f>TEXT(MOD(TIMEVALUE(F5)+29/1440,1),"HH:MM")</f>
        <v/>
      </c>
      <c r="G18" s="13">
        <f>TEXT(MOD(TIMEVALUE(G5)+29/1440,1),"HH:MM")</f>
        <v/>
      </c>
      <c r="H18" s="13">
        <f>TEXT(MOD(TIMEVALUE(H5)+29/1440,1),"HH:MM")</f>
        <v/>
      </c>
      <c r="I18" s="13">
        <f>TEXT(MOD(TIMEVALUE(I5)+29/1440,1),"HH:MM")</f>
        <v/>
      </c>
      <c r="J18" s="13">
        <f>TEXT(MOD(TIMEVALUE(J5)+29/1440,1),"HH:MM")</f>
        <v/>
      </c>
      <c r="K18" s="13">
        <f>TEXT(MOD(TIMEVALUE(K5)+29/1440,1),"HH:MM")</f>
        <v/>
      </c>
      <c r="L18" s="13">
        <f>TEXT(MOD(TIMEVALUE(L5)+29/1440,1),"HH:MM")</f>
        <v/>
      </c>
      <c r="M18" s="13">
        <f>TEXT(MOD(TIMEVALUE(M5)+29/1440,1),"HH:MM")</f>
        <v/>
      </c>
      <c r="N18" s="13">
        <f>TEXT(MOD(TIMEVALUE(N5)+29/1440,1),"HH:MM")</f>
        <v/>
      </c>
      <c r="O18" s="13">
        <f>TEXT(MOD(TIMEVALUE(O5)+29/1440,1),"HH:MM")</f>
        <v/>
      </c>
      <c r="P18" s="13">
        <f>TEXT(MOD(TIMEVALUE(P5)+29/1440,1),"HH:MM")</f>
        <v/>
      </c>
      <c r="Q18" s="13">
        <f>TEXT(MOD(TIMEVALUE(Q5)+29/1440,1),"HH:MM")</f>
        <v/>
      </c>
      <c r="R18" s="13">
        <f>TEXT(MOD(TIMEVALUE(R5)+29/1440,1),"HH:MM")</f>
        <v/>
      </c>
      <c r="S18" s="13">
        <f>TEXT(MOD(TIMEVALUE(S5)+29/1440,1),"HH:MM")</f>
        <v/>
      </c>
      <c r="T18" s="13">
        <f>TEXT(MOD(TIMEVALUE(T5)+29/1440,1),"HH:MM")</f>
        <v/>
      </c>
      <c r="U18" s="13">
        <f>TEXT(MOD(TIMEVALUE(U5)+29/1440,1),"HH:MM")</f>
        <v/>
      </c>
      <c r="V18" s="13">
        <f>TEXT(MOD(TIMEVALUE(V5)+29/1440,1),"HH:MM")</f>
        <v/>
      </c>
      <c r="W18" s="13">
        <f>TEXT(MOD(TIMEVALUE(W5)+29/1440,1),"HH:MM")</f>
        <v/>
      </c>
      <c r="X18" s="13">
        <f>TEXT(MOD(TIMEVALUE(X5)+29/1440,1),"HH:MM")</f>
        <v/>
      </c>
      <c r="Y18" s="13">
        <f>TEXT(MOD(TIMEVALUE(Y5)+29/1440,1),"HH:MM")</f>
        <v/>
      </c>
      <c r="Z18" s="13">
        <f>TEXT(MOD(TIMEVALUE(Z5)+29/1440,1),"HH:MM")</f>
        <v/>
      </c>
      <c r="AA18" s="13">
        <f>TEXT(MOD(TIMEVALUE(AA5)+29/1440,1),"HH:MM")</f>
        <v/>
      </c>
      <c r="AB18" s="13">
        <f>TEXT(MOD(TIMEVALUE(AB5)+29/1440,1),"HH:MM")</f>
        <v/>
      </c>
      <c r="AC18" s="13">
        <f>TEXT(MOD(TIMEVALUE(AC5)+29/1440,1),"HH:MM")</f>
        <v/>
      </c>
      <c r="AD18" s="13">
        <f>TEXT(MOD(TIMEVALUE(AD5)+29/1440,1),"HH:MM")</f>
        <v/>
      </c>
      <c r="AE18" s="13">
        <f>TEXT(MOD(TIMEVALUE(AE5)+29/1440,1),"HH:MM")</f>
        <v/>
      </c>
      <c r="AF18" s="13">
        <f>TEXT(MOD(TIMEVALUE(AF5)+29/1440,1),"HH:MM")</f>
        <v/>
      </c>
      <c r="AG18" s="13">
        <f>TEXT(MOD(TIMEVALUE(AG5)+29/1440,1),"HH:MM")</f>
        <v/>
      </c>
      <c r="AH18" s="13">
        <f>TEXT(MOD(TIMEVALUE(AH5)+29/1440,1),"HH:MM")</f>
        <v/>
      </c>
      <c r="AI18" s="13">
        <f>TEXT(MOD(TIMEVALUE(AI5)+29/1440,1),"HH:MM")</f>
        <v/>
      </c>
      <c r="AJ18" s="13">
        <f>TEXT(MOD(TIMEVALUE(AJ5)+29/1440,1),"HH:MM")</f>
        <v/>
      </c>
      <c r="AK18" s="13">
        <f>TEXT(MOD(TIMEVALUE(AK5)+29/1440,1),"HH:MM")</f>
        <v/>
      </c>
      <c r="AL18" s="13">
        <f>TEXT(MOD(TIMEVALUE(AL5)+29/1440,1),"HH:MM")</f>
        <v/>
      </c>
      <c r="AM18" s="13">
        <f>TEXT(MOD(TIMEVALUE(AM5)+29/1440,1),"HH:MM")</f>
        <v/>
      </c>
      <c r="AN18" s="13">
        <f>TEXT(MOD(TIMEVALUE(AN5)+29/1440,1),"HH:MM")</f>
        <v/>
      </c>
      <c r="AO18" s="13">
        <f>TEXT(MOD(TIMEVALUE(AO5)+29/1440,1),"HH:MM")</f>
        <v/>
      </c>
      <c r="AP18" s="13">
        <f>TEXT(MOD(TIMEVALUE(AP5)+29/1440,1),"HH:MM")</f>
        <v/>
      </c>
      <c r="AQ18" s="13">
        <f>TEXT(MOD(TIMEVALUE(AQ5)+29/1440,1),"HH:MM")</f>
        <v/>
      </c>
      <c r="AR18" s="13">
        <f>TEXT(MOD(TIMEVALUE(AR5)+29/1440,1),"HH:MM")</f>
        <v/>
      </c>
      <c r="AS18" s="13">
        <f>TEXT(MOD(TIMEVALUE(AS5)+29/1440,1),"HH:MM")</f>
        <v/>
      </c>
      <c r="AT18" s="13">
        <f>TEXT(MOD(TIMEVALUE(AT5)+29/1440,1),"HH:MM")</f>
        <v/>
      </c>
      <c r="AU18" s="13">
        <f>TEXT(MOD(TIMEVALUE(AU5)+29/1440,1),"HH:MM")</f>
        <v/>
      </c>
      <c r="AV18" s="13">
        <f>TEXT(MOD(TIMEVALUE(AV5)+29/1440,1),"HH:MM")</f>
        <v/>
      </c>
      <c r="AW18" s="13">
        <f>TEXT(MOD(TIMEVALUE(AW5)+29/1440,1),"HH:MM")</f>
        <v/>
      </c>
      <c r="AX18" s="13">
        <f>TEXT(MOD(TIMEVALUE(AX5)+29/1440,1),"HH:MM")</f>
        <v/>
      </c>
      <c r="AY18" s="13">
        <f>TEXT(MOD(TIMEVALUE(AY5)+29/1440,1),"HH:MM")</f>
        <v/>
      </c>
      <c r="AZ18" s="13">
        <f>TEXT(MOD(TIMEVALUE(AZ5)+29/1440,1),"HH:MM")</f>
        <v/>
      </c>
      <c r="BA18" s="13">
        <f>TEXT(MOD(TIMEVALUE(BA5)+29/1440,1),"HH:MM")</f>
        <v/>
      </c>
      <c r="BB18" s="13">
        <f>TEXT(MOD(TIMEVALUE(BB5)+29/1440,1),"HH:MM")</f>
        <v/>
      </c>
      <c r="BC18" s="13">
        <f>TEXT(MOD(TIMEVALUE(BC5)+29/1440,1),"HH:MM")</f>
        <v/>
      </c>
      <c r="BD18" s="13">
        <f>TEXT(MOD(TIMEVALUE(BD5)+29/1440,1),"HH:MM")</f>
        <v/>
      </c>
      <c r="BE18" s="13">
        <f>TEXT(MOD(TIMEVALUE(BE5)+29/1440,1),"HH:MM")</f>
        <v/>
      </c>
      <c r="BF18" s="13">
        <f>TEXT(MOD(TIMEVALUE(BF5)+29/1440,1),"HH:MM")</f>
        <v/>
      </c>
      <c r="BG18" s="13">
        <f>TEXT(MOD(TIMEVALUE(BG5)+29/1440,1),"HH:MM")</f>
        <v/>
      </c>
      <c r="BH18" s="13">
        <f>TEXT(MOD(TIMEVALUE(BH5)+29/1440,1),"HH:MM")</f>
        <v/>
      </c>
      <c r="BI18" s="13">
        <f>TEXT(MOD(TIMEVALUE(BI5)+29/1440,1),"HH:MM")</f>
        <v/>
      </c>
      <c r="BJ18" s="13">
        <f>TEXT(MOD(TIMEVALUE(BJ5)+29/1440,1),"HH:MM")</f>
        <v/>
      </c>
      <c r="BK18" s="13">
        <f>TEXT(MOD(TIMEVALUE(BK5)+29/1440,1),"HH:MM")</f>
        <v/>
      </c>
      <c r="BL18" s="13">
        <f>TEXT(MOD(TIMEVALUE(BL5)+29/1440,1),"HH:MM")</f>
        <v/>
      </c>
      <c r="BM18" s="13">
        <f>TEXT(MOD(TIMEVALUE(BM5)+29/1440,1),"HH:MM")</f>
        <v/>
      </c>
    </row>
    <row r="19" ht="16.5" customHeight="1" s="26">
      <c r="A19" s="14" t="inlineStr">
        <is>
          <t>Lourdes</t>
        </is>
      </c>
      <c r="B19" s="15">
        <f>TEXT(MOD(TIMEVALUE(B5)+31/1440,1),"HH:MM")</f>
        <v/>
      </c>
      <c r="C19" s="15">
        <f>TEXT(MOD(TIMEVALUE(C5)+31/1440,1),"HH:MM")</f>
        <v/>
      </c>
      <c r="D19" s="15">
        <f>TEXT(MOD(TIMEVALUE(D5)+31/1440,1),"HH:MM")</f>
        <v/>
      </c>
      <c r="E19" s="15">
        <f>TEXT(MOD(TIMEVALUE(E5)+31/1440,1),"HH:MM")</f>
        <v/>
      </c>
      <c r="F19" s="15">
        <f>TEXT(MOD(TIMEVALUE(F5)+31/1440,1),"HH:MM")</f>
        <v/>
      </c>
      <c r="G19" s="15">
        <f>TEXT(MOD(TIMEVALUE(G5)+31/1440,1),"HH:MM")</f>
        <v/>
      </c>
      <c r="H19" s="15">
        <f>TEXT(MOD(TIMEVALUE(H5)+31/1440,1),"HH:MM")</f>
        <v/>
      </c>
      <c r="I19" s="15">
        <f>TEXT(MOD(TIMEVALUE(I5)+31/1440,1),"HH:MM")</f>
        <v/>
      </c>
      <c r="J19" s="15">
        <f>TEXT(MOD(TIMEVALUE(J5)+31/1440,1),"HH:MM")</f>
        <v/>
      </c>
      <c r="K19" s="15">
        <f>TEXT(MOD(TIMEVALUE(K5)+31/1440,1),"HH:MM")</f>
        <v/>
      </c>
      <c r="L19" s="15">
        <f>TEXT(MOD(TIMEVALUE(L5)+31/1440,1),"HH:MM")</f>
        <v/>
      </c>
      <c r="M19" s="15">
        <f>TEXT(MOD(TIMEVALUE(M5)+31/1440,1),"HH:MM")</f>
        <v/>
      </c>
      <c r="N19" s="15">
        <f>TEXT(MOD(TIMEVALUE(N5)+31/1440,1),"HH:MM")</f>
        <v/>
      </c>
      <c r="O19" s="15">
        <f>TEXT(MOD(TIMEVALUE(O5)+31/1440,1),"HH:MM")</f>
        <v/>
      </c>
      <c r="P19" s="15">
        <f>TEXT(MOD(TIMEVALUE(P5)+31/1440,1),"HH:MM")</f>
        <v/>
      </c>
      <c r="Q19" s="15">
        <f>TEXT(MOD(TIMEVALUE(Q5)+31/1440,1),"HH:MM")</f>
        <v/>
      </c>
      <c r="R19" s="15">
        <f>TEXT(MOD(TIMEVALUE(R5)+31/1440,1),"HH:MM")</f>
        <v/>
      </c>
      <c r="S19" s="15">
        <f>TEXT(MOD(TIMEVALUE(S5)+31/1440,1),"HH:MM")</f>
        <v/>
      </c>
      <c r="T19" s="15">
        <f>TEXT(MOD(TIMEVALUE(T5)+31/1440,1),"HH:MM")</f>
        <v/>
      </c>
      <c r="U19" s="15">
        <f>TEXT(MOD(TIMEVALUE(U5)+31/1440,1),"HH:MM")</f>
        <v/>
      </c>
      <c r="V19" s="15">
        <f>TEXT(MOD(TIMEVALUE(V5)+31/1440,1),"HH:MM")</f>
        <v/>
      </c>
      <c r="W19" s="15">
        <f>TEXT(MOD(TIMEVALUE(W5)+31/1440,1),"HH:MM")</f>
        <v/>
      </c>
      <c r="X19" s="15">
        <f>TEXT(MOD(TIMEVALUE(X5)+31/1440,1),"HH:MM")</f>
        <v/>
      </c>
      <c r="Y19" s="15">
        <f>TEXT(MOD(TIMEVALUE(Y5)+31/1440,1),"HH:MM")</f>
        <v/>
      </c>
      <c r="Z19" s="15">
        <f>TEXT(MOD(TIMEVALUE(Z5)+31/1440,1),"HH:MM")</f>
        <v/>
      </c>
      <c r="AA19" s="15">
        <f>TEXT(MOD(TIMEVALUE(AA5)+31/1440,1),"HH:MM")</f>
        <v/>
      </c>
      <c r="AB19" s="15">
        <f>TEXT(MOD(TIMEVALUE(AB5)+31/1440,1),"HH:MM")</f>
        <v/>
      </c>
      <c r="AC19" s="15">
        <f>TEXT(MOD(TIMEVALUE(AC5)+31/1440,1),"HH:MM")</f>
        <v/>
      </c>
      <c r="AD19" s="15">
        <f>TEXT(MOD(TIMEVALUE(AD5)+31/1440,1),"HH:MM")</f>
        <v/>
      </c>
      <c r="AE19" s="15">
        <f>TEXT(MOD(TIMEVALUE(AE5)+31/1440,1),"HH:MM")</f>
        <v/>
      </c>
      <c r="AF19" s="15">
        <f>TEXT(MOD(TIMEVALUE(AF5)+31/1440,1),"HH:MM")</f>
        <v/>
      </c>
      <c r="AG19" s="15">
        <f>TEXT(MOD(TIMEVALUE(AG5)+31/1440,1),"HH:MM")</f>
        <v/>
      </c>
      <c r="AH19" s="15">
        <f>TEXT(MOD(TIMEVALUE(AH5)+31/1440,1),"HH:MM")</f>
        <v/>
      </c>
      <c r="AI19" s="15">
        <f>TEXT(MOD(TIMEVALUE(AI5)+31/1440,1),"HH:MM")</f>
        <v/>
      </c>
      <c r="AJ19" s="15">
        <f>TEXT(MOD(TIMEVALUE(AJ5)+31/1440,1),"HH:MM")</f>
        <v/>
      </c>
      <c r="AK19" s="15">
        <f>TEXT(MOD(TIMEVALUE(AK5)+31/1440,1),"HH:MM")</f>
        <v/>
      </c>
      <c r="AL19" s="15">
        <f>TEXT(MOD(TIMEVALUE(AL5)+31/1440,1),"HH:MM")</f>
        <v/>
      </c>
      <c r="AM19" s="15">
        <f>TEXT(MOD(TIMEVALUE(AM5)+31/1440,1),"HH:MM")</f>
        <v/>
      </c>
      <c r="AN19" s="15">
        <f>TEXT(MOD(TIMEVALUE(AN5)+31/1440,1),"HH:MM")</f>
        <v/>
      </c>
      <c r="AO19" s="15">
        <f>TEXT(MOD(TIMEVALUE(AO5)+31/1440,1),"HH:MM")</f>
        <v/>
      </c>
      <c r="AP19" s="15">
        <f>TEXT(MOD(TIMEVALUE(AP5)+31/1440,1),"HH:MM")</f>
        <v/>
      </c>
      <c r="AQ19" s="15">
        <f>TEXT(MOD(TIMEVALUE(AQ5)+31/1440,1),"HH:MM")</f>
        <v/>
      </c>
      <c r="AR19" s="15">
        <f>TEXT(MOD(TIMEVALUE(AR5)+31/1440,1),"HH:MM")</f>
        <v/>
      </c>
      <c r="AS19" s="15">
        <f>TEXT(MOD(TIMEVALUE(AS5)+31/1440,1),"HH:MM")</f>
        <v/>
      </c>
      <c r="AT19" s="15">
        <f>TEXT(MOD(TIMEVALUE(AT5)+31/1440,1),"HH:MM")</f>
        <v/>
      </c>
      <c r="AU19" s="15">
        <f>TEXT(MOD(TIMEVALUE(AU5)+31/1440,1),"HH:MM")</f>
        <v/>
      </c>
      <c r="AV19" s="15">
        <f>TEXT(MOD(TIMEVALUE(AV5)+31/1440,1),"HH:MM")</f>
        <v/>
      </c>
      <c r="AW19" s="15">
        <f>TEXT(MOD(TIMEVALUE(AW5)+31/1440,1),"HH:MM")</f>
        <v/>
      </c>
      <c r="AX19" s="15">
        <f>TEXT(MOD(TIMEVALUE(AX5)+31/1440,1),"HH:MM")</f>
        <v/>
      </c>
      <c r="AY19" s="15">
        <f>TEXT(MOD(TIMEVALUE(AY5)+31/1440,1),"HH:MM")</f>
        <v/>
      </c>
      <c r="AZ19" s="15">
        <f>TEXT(MOD(TIMEVALUE(AZ5)+31/1440,1),"HH:MM")</f>
        <v/>
      </c>
      <c r="BA19" s="15">
        <f>TEXT(MOD(TIMEVALUE(BA5)+31/1440,1),"HH:MM")</f>
        <v/>
      </c>
      <c r="BB19" s="15">
        <f>TEXT(MOD(TIMEVALUE(BB5)+31/1440,1),"HH:MM")</f>
        <v/>
      </c>
      <c r="BC19" s="15">
        <f>TEXT(MOD(TIMEVALUE(BC5)+31/1440,1),"HH:MM")</f>
        <v/>
      </c>
      <c r="BD19" s="15">
        <f>TEXT(MOD(TIMEVALUE(BD5)+31/1440,1),"HH:MM")</f>
        <v/>
      </c>
      <c r="BE19" s="15">
        <f>TEXT(MOD(TIMEVALUE(BE5)+31/1440,1),"HH:MM")</f>
        <v/>
      </c>
      <c r="BF19" s="15">
        <f>TEXT(MOD(TIMEVALUE(BF5)+31/1440,1),"HH:MM")</f>
        <v/>
      </c>
      <c r="BG19" s="15">
        <f>TEXT(MOD(TIMEVALUE(BG5)+31/1440,1),"HH:MM")</f>
        <v/>
      </c>
      <c r="BH19" s="15">
        <f>TEXT(MOD(TIMEVALUE(BH5)+31/1440,1),"HH:MM")</f>
        <v/>
      </c>
      <c r="BI19" s="15">
        <f>TEXT(MOD(TIMEVALUE(BI5)+31/1440,1),"HH:MM")</f>
        <v/>
      </c>
      <c r="BJ19" s="15">
        <f>TEXT(MOD(TIMEVALUE(BJ5)+31/1440,1),"HH:MM")</f>
        <v/>
      </c>
      <c r="BK19" s="15">
        <f>TEXT(MOD(TIMEVALUE(BK5)+31/1440,1),"HH:MM")</f>
        <v/>
      </c>
      <c r="BL19" s="15">
        <f>TEXT(MOD(TIMEVALUE(BL5)+31/1440,1),"HH:MM")</f>
        <v/>
      </c>
      <c r="BM19" s="15">
        <f>TEXT(MOD(TIMEVALUE(BM5)+31/1440,1),"HH:MM")</f>
        <v/>
      </c>
    </row>
    <row r="20" ht="16.5" customHeight="1" s="26">
      <c r="A20" s="12" t="inlineStr">
        <is>
          <t>Fernández Moreno</t>
        </is>
      </c>
      <c r="B20" s="13">
        <f>TEXT(MOD(TIMEVALUE(B5)+33/1440,1),"HH:MM")</f>
        <v/>
      </c>
      <c r="C20" s="13">
        <f>TEXT(MOD(TIMEVALUE(C5)+33/1440,1),"HH:MM")</f>
        <v/>
      </c>
      <c r="D20" s="13">
        <f>TEXT(MOD(TIMEVALUE(D5)+33/1440,1),"HH:MM")</f>
        <v/>
      </c>
      <c r="E20" s="13">
        <f>TEXT(MOD(TIMEVALUE(E5)+33/1440,1),"HH:MM")</f>
        <v/>
      </c>
      <c r="F20" s="13">
        <f>TEXT(MOD(TIMEVALUE(F5)+33/1440,1),"HH:MM")</f>
        <v/>
      </c>
      <c r="G20" s="13">
        <f>TEXT(MOD(TIMEVALUE(G5)+33/1440,1),"HH:MM")</f>
        <v/>
      </c>
      <c r="H20" s="13">
        <f>TEXT(MOD(TIMEVALUE(H5)+33/1440,1),"HH:MM")</f>
        <v/>
      </c>
      <c r="I20" s="13">
        <f>TEXT(MOD(TIMEVALUE(I5)+33/1440,1),"HH:MM")</f>
        <v/>
      </c>
      <c r="J20" s="13">
        <f>TEXT(MOD(TIMEVALUE(J5)+33/1440,1),"HH:MM")</f>
        <v/>
      </c>
      <c r="K20" s="13">
        <f>TEXT(MOD(TIMEVALUE(K5)+33/1440,1),"HH:MM")</f>
        <v/>
      </c>
      <c r="L20" s="13">
        <f>TEXT(MOD(TIMEVALUE(L5)+33/1440,1),"HH:MM")</f>
        <v/>
      </c>
      <c r="M20" s="13">
        <f>TEXT(MOD(TIMEVALUE(M5)+33/1440,1),"HH:MM")</f>
        <v/>
      </c>
      <c r="N20" s="13">
        <f>TEXT(MOD(TIMEVALUE(N5)+33/1440,1),"HH:MM")</f>
        <v/>
      </c>
      <c r="O20" s="13">
        <f>TEXT(MOD(TIMEVALUE(O5)+33/1440,1),"HH:MM")</f>
        <v/>
      </c>
      <c r="P20" s="13">
        <f>TEXT(MOD(TIMEVALUE(P5)+33/1440,1),"HH:MM")</f>
        <v/>
      </c>
      <c r="Q20" s="13">
        <f>TEXT(MOD(TIMEVALUE(Q5)+33/1440,1),"HH:MM")</f>
        <v/>
      </c>
      <c r="R20" s="13">
        <f>TEXT(MOD(TIMEVALUE(R5)+33/1440,1),"HH:MM")</f>
        <v/>
      </c>
      <c r="S20" s="13">
        <f>TEXT(MOD(TIMEVALUE(S5)+33/1440,1),"HH:MM")</f>
        <v/>
      </c>
      <c r="T20" s="13">
        <f>TEXT(MOD(TIMEVALUE(T5)+33/1440,1),"HH:MM")</f>
        <v/>
      </c>
      <c r="U20" s="13">
        <f>TEXT(MOD(TIMEVALUE(U5)+33/1440,1),"HH:MM")</f>
        <v/>
      </c>
      <c r="V20" s="13">
        <f>TEXT(MOD(TIMEVALUE(V5)+33/1440,1),"HH:MM")</f>
        <v/>
      </c>
      <c r="W20" s="13">
        <f>TEXT(MOD(TIMEVALUE(W5)+33/1440,1),"HH:MM")</f>
        <v/>
      </c>
      <c r="X20" s="13">
        <f>TEXT(MOD(TIMEVALUE(X5)+33/1440,1),"HH:MM")</f>
        <v/>
      </c>
      <c r="Y20" s="13">
        <f>TEXT(MOD(TIMEVALUE(Y5)+33/1440,1),"HH:MM")</f>
        <v/>
      </c>
      <c r="Z20" s="13">
        <f>TEXT(MOD(TIMEVALUE(Z5)+33/1440,1),"HH:MM")</f>
        <v/>
      </c>
      <c r="AA20" s="13">
        <f>TEXT(MOD(TIMEVALUE(AA5)+33/1440,1),"HH:MM")</f>
        <v/>
      </c>
      <c r="AB20" s="13">
        <f>TEXT(MOD(TIMEVALUE(AB5)+33/1440,1),"HH:MM")</f>
        <v/>
      </c>
      <c r="AC20" s="13">
        <f>TEXT(MOD(TIMEVALUE(AC5)+33/1440,1),"HH:MM")</f>
        <v/>
      </c>
      <c r="AD20" s="13">
        <f>TEXT(MOD(TIMEVALUE(AD5)+33/1440,1),"HH:MM")</f>
        <v/>
      </c>
      <c r="AE20" s="13">
        <f>TEXT(MOD(TIMEVALUE(AE5)+33/1440,1),"HH:MM")</f>
        <v/>
      </c>
      <c r="AF20" s="13">
        <f>TEXT(MOD(TIMEVALUE(AF5)+33/1440,1),"HH:MM")</f>
        <v/>
      </c>
      <c r="AG20" s="13">
        <f>TEXT(MOD(TIMEVALUE(AG5)+33/1440,1),"HH:MM")</f>
        <v/>
      </c>
      <c r="AH20" s="13">
        <f>TEXT(MOD(TIMEVALUE(AH5)+33/1440,1),"HH:MM")</f>
        <v/>
      </c>
      <c r="AI20" s="13">
        <f>TEXT(MOD(TIMEVALUE(AI5)+33/1440,1),"HH:MM")</f>
        <v/>
      </c>
      <c r="AJ20" s="13">
        <f>TEXT(MOD(TIMEVALUE(AJ5)+33/1440,1),"HH:MM")</f>
        <v/>
      </c>
      <c r="AK20" s="13">
        <f>TEXT(MOD(TIMEVALUE(AK5)+33/1440,1),"HH:MM")</f>
        <v/>
      </c>
      <c r="AL20" s="13">
        <f>TEXT(MOD(TIMEVALUE(AL5)+33/1440,1),"HH:MM")</f>
        <v/>
      </c>
      <c r="AM20" s="13">
        <f>TEXT(MOD(TIMEVALUE(AM5)+33/1440,1),"HH:MM")</f>
        <v/>
      </c>
      <c r="AN20" s="13">
        <f>TEXT(MOD(TIMEVALUE(AN5)+33/1440,1),"HH:MM")</f>
        <v/>
      </c>
      <c r="AO20" s="13">
        <f>TEXT(MOD(TIMEVALUE(AO5)+33/1440,1),"HH:MM")</f>
        <v/>
      </c>
      <c r="AP20" s="13">
        <f>TEXT(MOD(TIMEVALUE(AP5)+33/1440,1),"HH:MM")</f>
        <v/>
      </c>
      <c r="AQ20" s="13">
        <f>TEXT(MOD(TIMEVALUE(AQ5)+33/1440,1),"HH:MM")</f>
        <v/>
      </c>
      <c r="AR20" s="13">
        <f>TEXT(MOD(TIMEVALUE(AR5)+33/1440,1),"HH:MM")</f>
        <v/>
      </c>
      <c r="AS20" s="13">
        <f>TEXT(MOD(TIMEVALUE(AS5)+33/1440,1),"HH:MM")</f>
        <v/>
      </c>
      <c r="AT20" s="13">
        <f>TEXT(MOD(TIMEVALUE(AT5)+33/1440,1),"HH:MM")</f>
        <v/>
      </c>
      <c r="AU20" s="13">
        <f>TEXT(MOD(TIMEVALUE(AU5)+33/1440,1),"HH:MM")</f>
        <v/>
      </c>
      <c r="AV20" s="13">
        <f>TEXT(MOD(TIMEVALUE(AV5)+33/1440,1),"HH:MM")</f>
        <v/>
      </c>
      <c r="AW20" s="13">
        <f>TEXT(MOD(TIMEVALUE(AW5)+33/1440,1),"HH:MM")</f>
        <v/>
      </c>
      <c r="AX20" s="13">
        <f>TEXT(MOD(TIMEVALUE(AX5)+33/1440,1),"HH:MM")</f>
        <v/>
      </c>
      <c r="AY20" s="13">
        <f>TEXT(MOD(TIMEVALUE(AY5)+33/1440,1),"HH:MM")</f>
        <v/>
      </c>
      <c r="AZ20" s="13">
        <f>TEXT(MOD(TIMEVALUE(AZ5)+33/1440,1),"HH:MM")</f>
        <v/>
      </c>
      <c r="BA20" s="13">
        <f>TEXT(MOD(TIMEVALUE(BA5)+33/1440,1),"HH:MM")</f>
        <v/>
      </c>
      <c r="BB20" s="13">
        <f>TEXT(MOD(TIMEVALUE(BB5)+33/1440,1),"HH:MM")</f>
        <v/>
      </c>
      <c r="BC20" s="13">
        <f>TEXT(MOD(TIMEVALUE(BC5)+33/1440,1),"HH:MM")</f>
        <v/>
      </c>
      <c r="BD20" s="13">
        <f>TEXT(MOD(TIMEVALUE(BD5)+33/1440,1),"HH:MM")</f>
        <v/>
      </c>
      <c r="BE20" s="13">
        <f>TEXT(MOD(TIMEVALUE(BE5)+33/1440,1),"HH:MM")</f>
        <v/>
      </c>
      <c r="BF20" s="13">
        <f>TEXT(MOD(TIMEVALUE(BF5)+33/1440,1),"HH:MM")</f>
        <v/>
      </c>
      <c r="BG20" s="13">
        <f>TEXT(MOD(TIMEVALUE(BG5)+33/1440,1),"HH:MM")</f>
        <v/>
      </c>
      <c r="BH20" s="13">
        <f>TEXT(MOD(TIMEVALUE(BH5)+33/1440,1),"HH:MM")</f>
        <v/>
      </c>
      <c r="BI20" s="13">
        <f>TEXT(MOD(TIMEVALUE(BI5)+33/1440,1),"HH:MM")</f>
        <v/>
      </c>
      <c r="BJ20" s="13">
        <f>TEXT(MOD(TIMEVALUE(BJ5)+33/1440,1),"HH:MM")</f>
        <v/>
      </c>
      <c r="BK20" s="13">
        <f>TEXT(MOD(TIMEVALUE(BK5)+33/1440,1),"HH:MM")</f>
        <v/>
      </c>
      <c r="BL20" s="13">
        <f>TEXT(MOD(TIMEVALUE(BL5)+33/1440,1),"HH:MM")</f>
        <v/>
      </c>
      <c r="BM20" s="13">
        <f>TEXT(MOD(TIMEVALUE(BM5)+33/1440,1),"HH:MM")</f>
        <v/>
      </c>
    </row>
    <row r="21" ht="16.5" customHeight="1" s="26">
      <c r="A21" s="14" t="inlineStr">
        <is>
          <t>Cnel. Fco. Lynch</t>
        </is>
      </c>
      <c r="B21" s="15">
        <f>TEXT(MOD(TIMEVALUE(B5)+35/1440,1),"HH:MM")</f>
        <v/>
      </c>
      <c r="C21" s="15">
        <f>TEXT(MOD(TIMEVALUE(C5)+35/1440,1),"HH:MM")</f>
        <v/>
      </c>
      <c r="D21" s="15">
        <f>TEXT(MOD(TIMEVALUE(D5)+35/1440,1),"HH:MM")</f>
        <v/>
      </c>
      <c r="E21" s="15">
        <f>TEXT(MOD(TIMEVALUE(E5)+35/1440,1),"HH:MM")</f>
        <v/>
      </c>
      <c r="F21" s="15">
        <f>TEXT(MOD(TIMEVALUE(F5)+35/1440,1),"HH:MM")</f>
        <v/>
      </c>
      <c r="G21" s="15">
        <f>TEXT(MOD(TIMEVALUE(G5)+35/1440,1),"HH:MM")</f>
        <v/>
      </c>
      <c r="H21" s="15">
        <f>TEXT(MOD(TIMEVALUE(H5)+35/1440,1),"HH:MM")</f>
        <v/>
      </c>
      <c r="I21" s="15">
        <f>TEXT(MOD(TIMEVALUE(I5)+35/1440,1),"HH:MM")</f>
        <v/>
      </c>
      <c r="J21" s="15">
        <f>TEXT(MOD(TIMEVALUE(J5)+35/1440,1),"HH:MM")</f>
        <v/>
      </c>
      <c r="K21" s="15">
        <f>TEXT(MOD(TIMEVALUE(K5)+35/1440,1),"HH:MM")</f>
        <v/>
      </c>
      <c r="L21" s="15">
        <f>TEXT(MOD(TIMEVALUE(L5)+35/1440,1),"HH:MM")</f>
        <v/>
      </c>
      <c r="M21" s="15">
        <f>TEXT(MOD(TIMEVALUE(M5)+35/1440,1),"HH:MM")</f>
        <v/>
      </c>
      <c r="N21" s="15">
        <f>TEXT(MOD(TIMEVALUE(N5)+35/1440,1),"HH:MM")</f>
        <v/>
      </c>
      <c r="O21" s="15">
        <f>TEXT(MOD(TIMEVALUE(O5)+35/1440,1),"HH:MM")</f>
        <v/>
      </c>
      <c r="P21" s="15">
        <f>TEXT(MOD(TIMEVALUE(P5)+35/1440,1),"HH:MM")</f>
        <v/>
      </c>
      <c r="Q21" s="15">
        <f>TEXT(MOD(TIMEVALUE(Q5)+35/1440,1),"HH:MM")</f>
        <v/>
      </c>
      <c r="R21" s="15">
        <f>TEXT(MOD(TIMEVALUE(R5)+35/1440,1),"HH:MM")</f>
        <v/>
      </c>
      <c r="S21" s="15">
        <f>TEXT(MOD(TIMEVALUE(S5)+35/1440,1),"HH:MM")</f>
        <v/>
      </c>
      <c r="T21" s="15">
        <f>TEXT(MOD(TIMEVALUE(T5)+35/1440,1),"HH:MM")</f>
        <v/>
      </c>
      <c r="U21" s="15">
        <f>TEXT(MOD(TIMEVALUE(U5)+35/1440,1),"HH:MM")</f>
        <v/>
      </c>
      <c r="V21" s="15">
        <f>TEXT(MOD(TIMEVALUE(V5)+35/1440,1),"HH:MM")</f>
        <v/>
      </c>
      <c r="W21" s="15">
        <f>TEXT(MOD(TIMEVALUE(W5)+35/1440,1),"HH:MM")</f>
        <v/>
      </c>
      <c r="X21" s="15">
        <f>TEXT(MOD(TIMEVALUE(X5)+35/1440,1),"HH:MM")</f>
        <v/>
      </c>
      <c r="Y21" s="15">
        <f>TEXT(MOD(TIMEVALUE(Y5)+35/1440,1),"HH:MM")</f>
        <v/>
      </c>
      <c r="Z21" s="15">
        <f>TEXT(MOD(TIMEVALUE(Z5)+35/1440,1),"HH:MM")</f>
        <v/>
      </c>
      <c r="AA21" s="15">
        <f>TEXT(MOD(TIMEVALUE(AA5)+35/1440,1),"HH:MM")</f>
        <v/>
      </c>
      <c r="AB21" s="15">
        <f>TEXT(MOD(TIMEVALUE(AB5)+35/1440,1),"HH:MM")</f>
        <v/>
      </c>
      <c r="AC21" s="15">
        <f>TEXT(MOD(TIMEVALUE(AC5)+35/1440,1),"HH:MM")</f>
        <v/>
      </c>
      <c r="AD21" s="15">
        <f>TEXT(MOD(TIMEVALUE(AD5)+35/1440,1),"HH:MM")</f>
        <v/>
      </c>
      <c r="AE21" s="15">
        <f>TEXT(MOD(TIMEVALUE(AE5)+35/1440,1),"HH:MM")</f>
        <v/>
      </c>
      <c r="AF21" s="15">
        <f>TEXT(MOD(TIMEVALUE(AF5)+35/1440,1),"HH:MM")</f>
        <v/>
      </c>
      <c r="AG21" s="15">
        <f>TEXT(MOD(TIMEVALUE(AG5)+35/1440,1),"HH:MM")</f>
        <v/>
      </c>
      <c r="AH21" s="15">
        <f>TEXT(MOD(TIMEVALUE(AH5)+35/1440,1),"HH:MM")</f>
        <v/>
      </c>
      <c r="AI21" s="15">
        <f>TEXT(MOD(TIMEVALUE(AI5)+35/1440,1),"HH:MM")</f>
        <v/>
      </c>
      <c r="AJ21" s="15">
        <f>TEXT(MOD(TIMEVALUE(AJ5)+35/1440,1),"HH:MM")</f>
        <v/>
      </c>
      <c r="AK21" s="15">
        <f>TEXT(MOD(TIMEVALUE(AK5)+35/1440,1),"HH:MM")</f>
        <v/>
      </c>
      <c r="AL21" s="15">
        <f>TEXT(MOD(TIMEVALUE(AL5)+35/1440,1),"HH:MM")</f>
        <v/>
      </c>
      <c r="AM21" s="15">
        <f>TEXT(MOD(TIMEVALUE(AM5)+35/1440,1),"HH:MM")</f>
        <v/>
      </c>
      <c r="AN21" s="15">
        <f>TEXT(MOD(TIMEVALUE(AN5)+35/1440,1),"HH:MM")</f>
        <v/>
      </c>
      <c r="AO21" s="15">
        <f>TEXT(MOD(TIMEVALUE(AO5)+35/1440,1),"HH:MM")</f>
        <v/>
      </c>
      <c r="AP21" s="15">
        <f>TEXT(MOD(TIMEVALUE(AP5)+35/1440,1),"HH:MM")</f>
        <v/>
      </c>
      <c r="AQ21" s="15">
        <f>TEXT(MOD(TIMEVALUE(AQ5)+35/1440,1),"HH:MM")</f>
        <v/>
      </c>
      <c r="AR21" s="15">
        <f>TEXT(MOD(TIMEVALUE(AR5)+35/1440,1),"HH:MM")</f>
        <v/>
      </c>
      <c r="AS21" s="15">
        <f>TEXT(MOD(TIMEVALUE(AS5)+35/1440,1),"HH:MM")</f>
        <v/>
      </c>
      <c r="AT21" s="15">
        <f>TEXT(MOD(TIMEVALUE(AT5)+35/1440,1),"HH:MM")</f>
        <v/>
      </c>
      <c r="AU21" s="15">
        <f>TEXT(MOD(TIMEVALUE(AU5)+35/1440,1),"HH:MM")</f>
        <v/>
      </c>
      <c r="AV21" s="15">
        <f>TEXT(MOD(TIMEVALUE(AV5)+35/1440,1),"HH:MM")</f>
        <v/>
      </c>
      <c r="AW21" s="15">
        <f>TEXT(MOD(TIMEVALUE(AW5)+35/1440,1),"HH:MM")</f>
        <v/>
      </c>
      <c r="AX21" s="15">
        <f>TEXT(MOD(TIMEVALUE(AX5)+35/1440,1),"HH:MM")</f>
        <v/>
      </c>
      <c r="AY21" s="15">
        <f>TEXT(MOD(TIMEVALUE(AY5)+35/1440,1),"HH:MM")</f>
        <v/>
      </c>
      <c r="AZ21" s="15">
        <f>TEXT(MOD(TIMEVALUE(AZ5)+35/1440,1),"HH:MM")</f>
        <v/>
      </c>
      <c r="BA21" s="15">
        <f>TEXT(MOD(TIMEVALUE(BA5)+35/1440,1),"HH:MM")</f>
        <v/>
      </c>
      <c r="BB21" s="15">
        <f>TEXT(MOD(TIMEVALUE(BB5)+35/1440,1),"HH:MM")</f>
        <v/>
      </c>
      <c r="BC21" s="15">
        <f>TEXT(MOD(TIMEVALUE(BC5)+35/1440,1),"HH:MM")</f>
        <v/>
      </c>
      <c r="BD21" s="15">
        <f>TEXT(MOD(TIMEVALUE(BD5)+35/1440,1),"HH:MM")</f>
        <v/>
      </c>
      <c r="BE21" s="15">
        <f>TEXT(MOD(TIMEVALUE(BE5)+35/1440,1),"HH:MM")</f>
        <v/>
      </c>
      <c r="BF21" s="15">
        <f>TEXT(MOD(TIMEVALUE(BF5)+35/1440,1),"HH:MM")</f>
        <v/>
      </c>
      <c r="BG21" s="15">
        <f>TEXT(MOD(TIMEVALUE(BG5)+35/1440,1),"HH:MM")</f>
        <v/>
      </c>
      <c r="BH21" s="15">
        <f>TEXT(MOD(TIMEVALUE(BH5)+35/1440,1),"HH:MM")</f>
        <v/>
      </c>
      <c r="BI21" s="15">
        <f>TEXT(MOD(TIMEVALUE(BI5)+35/1440,1),"HH:MM")</f>
        <v/>
      </c>
      <c r="BJ21" s="15">
        <f>TEXT(MOD(TIMEVALUE(BJ5)+35/1440,1),"HH:MM")</f>
        <v/>
      </c>
      <c r="BK21" s="15">
        <f>TEXT(MOD(TIMEVALUE(BK5)+35/1440,1),"HH:MM")</f>
        <v/>
      </c>
      <c r="BL21" s="15">
        <f>TEXT(MOD(TIMEVALUE(BL5)+35/1440,1),"HH:MM")</f>
        <v/>
      </c>
      <c r="BM21" s="15">
        <f>TEXT(MOD(TIMEVALUE(BM5)+35/1440,1),"HH:MM")</f>
        <v/>
      </c>
    </row>
    <row r="22" ht="16.5" customHeight="1" s="26">
      <c r="A22" s="12" t="inlineStr">
        <is>
          <t>Antonio Devoto</t>
        </is>
      </c>
      <c r="B22" s="13">
        <f>TEXT(MOD(TIMEVALUE(B5)+37/1440,1),"HH:MM")</f>
        <v/>
      </c>
      <c r="C22" s="13">
        <f>TEXT(MOD(TIMEVALUE(C5)+37/1440,1),"HH:MM")</f>
        <v/>
      </c>
      <c r="D22" s="13">
        <f>TEXT(MOD(TIMEVALUE(D5)+37/1440,1),"HH:MM")</f>
        <v/>
      </c>
      <c r="E22" s="13">
        <f>TEXT(MOD(TIMEVALUE(E5)+37/1440,1),"HH:MM")</f>
        <v/>
      </c>
      <c r="F22" s="13">
        <f>TEXT(MOD(TIMEVALUE(F5)+37/1440,1),"HH:MM")</f>
        <v/>
      </c>
      <c r="G22" s="13">
        <f>TEXT(MOD(TIMEVALUE(G5)+37/1440,1),"HH:MM")</f>
        <v/>
      </c>
      <c r="H22" s="13">
        <f>TEXT(MOD(TIMEVALUE(H5)+37/1440,1),"HH:MM")</f>
        <v/>
      </c>
      <c r="I22" s="13">
        <f>TEXT(MOD(TIMEVALUE(I5)+37/1440,1),"HH:MM")</f>
        <v/>
      </c>
      <c r="J22" s="13">
        <f>TEXT(MOD(TIMEVALUE(J5)+37/1440,1),"HH:MM")</f>
        <v/>
      </c>
      <c r="K22" s="13">
        <f>TEXT(MOD(TIMEVALUE(K5)+37/1440,1),"HH:MM")</f>
        <v/>
      </c>
      <c r="L22" s="13">
        <f>TEXT(MOD(TIMEVALUE(L5)+37/1440,1),"HH:MM")</f>
        <v/>
      </c>
      <c r="M22" s="13">
        <f>TEXT(MOD(TIMEVALUE(M5)+37/1440,1),"HH:MM")</f>
        <v/>
      </c>
      <c r="N22" s="13">
        <f>TEXT(MOD(TIMEVALUE(N5)+37/1440,1),"HH:MM")</f>
        <v/>
      </c>
      <c r="O22" s="13">
        <f>TEXT(MOD(TIMEVALUE(O5)+37/1440,1),"HH:MM")</f>
        <v/>
      </c>
      <c r="P22" s="13">
        <f>TEXT(MOD(TIMEVALUE(P5)+37/1440,1),"HH:MM")</f>
        <v/>
      </c>
      <c r="Q22" s="13">
        <f>TEXT(MOD(TIMEVALUE(Q5)+37/1440,1),"HH:MM")</f>
        <v/>
      </c>
      <c r="R22" s="13">
        <f>TEXT(MOD(TIMEVALUE(R5)+37/1440,1),"HH:MM")</f>
        <v/>
      </c>
      <c r="S22" s="13">
        <f>TEXT(MOD(TIMEVALUE(S5)+37/1440,1),"HH:MM")</f>
        <v/>
      </c>
      <c r="T22" s="13">
        <f>TEXT(MOD(TIMEVALUE(T5)+37/1440,1),"HH:MM")</f>
        <v/>
      </c>
      <c r="U22" s="13">
        <f>TEXT(MOD(TIMEVALUE(U5)+37/1440,1),"HH:MM")</f>
        <v/>
      </c>
      <c r="V22" s="13">
        <f>TEXT(MOD(TIMEVALUE(V5)+37/1440,1),"HH:MM")</f>
        <v/>
      </c>
      <c r="W22" s="13">
        <f>TEXT(MOD(TIMEVALUE(W5)+37/1440,1),"HH:MM")</f>
        <v/>
      </c>
      <c r="X22" s="13">
        <f>TEXT(MOD(TIMEVALUE(X5)+37/1440,1),"HH:MM")</f>
        <v/>
      </c>
      <c r="Y22" s="13">
        <f>TEXT(MOD(TIMEVALUE(Y5)+37/1440,1),"HH:MM")</f>
        <v/>
      </c>
      <c r="Z22" s="13">
        <f>TEXT(MOD(TIMEVALUE(Z5)+37/1440,1),"HH:MM")</f>
        <v/>
      </c>
      <c r="AA22" s="13">
        <f>TEXT(MOD(TIMEVALUE(AA5)+37/1440,1),"HH:MM")</f>
        <v/>
      </c>
      <c r="AB22" s="13">
        <f>TEXT(MOD(TIMEVALUE(AB5)+37/1440,1),"HH:MM")</f>
        <v/>
      </c>
      <c r="AC22" s="13">
        <f>TEXT(MOD(TIMEVALUE(AC5)+37/1440,1),"HH:MM")</f>
        <v/>
      </c>
      <c r="AD22" s="13">
        <f>TEXT(MOD(TIMEVALUE(AD5)+37/1440,1),"HH:MM")</f>
        <v/>
      </c>
      <c r="AE22" s="13">
        <f>TEXT(MOD(TIMEVALUE(AE5)+37/1440,1),"HH:MM")</f>
        <v/>
      </c>
      <c r="AF22" s="13">
        <f>TEXT(MOD(TIMEVALUE(AF5)+37/1440,1),"HH:MM")</f>
        <v/>
      </c>
      <c r="AG22" s="13">
        <f>TEXT(MOD(TIMEVALUE(AG5)+37/1440,1),"HH:MM")</f>
        <v/>
      </c>
      <c r="AH22" s="13">
        <f>TEXT(MOD(TIMEVALUE(AH5)+37/1440,1),"HH:MM")</f>
        <v/>
      </c>
      <c r="AI22" s="13">
        <f>TEXT(MOD(TIMEVALUE(AI5)+37/1440,1),"HH:MM")</f>
        <v/>
      </c>
      <c r="AJ22" s="13">
        <f>TEXT(MOD(TIMEVALUE(AJ5)+37/1440,1),"HH:MM")</f>
        <v/>
      </c>
      <c r="AK22" s="13">
        <f>TEXT(MOD(TIMEVALUE(AK5)+37/1440,1),"HH:MM")</f>
        <v/>
      </c>
      <c r="AL22" s="13">
        <f>TEXT(MOD(TIMEVALUE(AL5)+37/1440,1),"HH:MM")</f>
        <v/>
      </c>
      <c r="AM22" s="13">
        <f>TEXT(MOD(TIMEVALUE(AM5)+37/1440,1),"HH:MM")</f>
        <v/>
      </c>
      <c r="AN22" s="13">
        <f>TEXT(MOD(TIMEVALUE(AN5)+37/1440,1),"HH:MM")</f>
        <v/>
      </c>
      <c r="AO22" s="13">
        <f>TEXT(MOD(TIMEVALUE(AO5)+37/1440,1),"HH:MM")</f>
        <v/>
      </c>
      <c r="AP22" s="13">
        <f>TEXT(MOD(TIMEVALUE(AP5)+37/1440,1),"HH:MM")</f>
        <v/>
      </c>
      <c r="AQ22" s="13">
        <f>TEXT(MOD(TIMEVALUE(AQ5)+37/1440,1),"HH:MM")</f>
        <v/>
      </c>
      <c r="AR22" s="13">
        <f>TEXT(MOD(TIMEVALUE(AR5)+37/1440,1),"HH:MM")</f>
        <v/>
      </c>
      <c r="AS22" s="13">
        <f>TEXT(MOD(TIMEVALUE(AS5)+37/1440,1),"HH:MM")</f>
        <v/>
      </c>
      <c r="AT22" s="13">
        <f>TEXT(MOD(TIMEVALUE(AT5)+37/1440,1),"HH:MM")</f>
        <v/>
      </c>
      <c r="AU22" s="13">
        <f>TEXT(MOD(TIMEVALUE(AU5)+37/1440,1),"HH:MM")</f>
        <v/>
      </c>
      <c r="AV22" s="13">
        <f>TEXT(MOD(TIMEVALUE(AV5)+37/1440,1),"HH:MM")</f>
        <v/>
      </c>
      <c r="AW22" s="13">
        <f>TEXT(MOD(TIMEVALUE(AW5)+37/1440,1),"HH:MM")</f>
        <v/>
      </c>
      <c r="AX22" s="13">
        <f>TEXT(MOD(TIMEVALUE(AX5)+37/1440,1),"HH:MM")</f>
        <v/>
      </c>
      <c r="AY22" s="13">
        <f>TEXT(MOD(TIMEVALUE(AY5)+37/1440,1),"HH:MM")</f>
        <v/>
      </c>
      <c r="AZ22" s="13">
        <f>TEXT(MOD(TIMEVALUE(AZ5)+37/1440,1),"HH:MM")</f>
        <v/>
      </c>
      <c r="BA22" s="13">
        <f>TEXT(MOD(TIMEVALUE(BA5)+37/1440,1),"HH:MM")</f>
        <v/>
      </c>
      <c r="BB22" s="13">
        <f>TEXT(MOD(TIMEVALUE(BB5)+37/1440,1),"HH:MM")</f>
        <v/>
      </c>
      <c r="BC22" s="13">
        <f>TEXT(MOD(TIMEVALUE(BC5)+37/1440,1),"HH:MM")</f>
        <v/>
      </c>
      <c r="BD22" s="13">
        <f>TEXT(MOD(TIMEVALUE(BD5)+37/1440,1),"HH:MM")</f>
        <v/>
      </c>
      <c r="BE22" s="13">
        <f>TEXT(MOD(TIMEVALUE(BE5)+37/1440,1),"HH:MM")</f>
        <v/>
      </c>
      <c r="BF22" s="13">
        <f>TEXT(MOD(TIMEVALUE(BF5)+37/1440,1),"HH:MM")</f>
        <v/>
      </c>
      <c r="BG22" s="13">
        <f>TEXT(MOD(TIMEVALUE(BG5)+37/1440,1),"HH:MM")</f>
        <v/>
      </c>
      <c r="BH22" s="13">
        <f>TEXT(MOD(TIMEVALUE(BH5)+37/1440,1),"HH:MM")</f>
        <v/>
      </c>
      <c r="BI22" s="13">
        <f>TEXT(MOD(TIMEVALUE(BI5)+37/1440,1),"HH:MM")</f>
        <v/>
      </c>
      <c r="BJ22" s="13">
        <f>TEXT(MOD(TIMEVALUE(BJ5)+37/1440,1),"HH:MM")</f>
        <v/>
      </c>
      <c r="BK22" s="13">
        <f>TEXT(MOD(TIMEVALUE(BK5)+37/1440,1),"HH:MM")</f>
        <v/>
      </c>
      <c r="BL22" s="13">
        <f>TEXT(MOD(TIMEVALUE(BL5)+37/1440,1),"HH:MM")</f>
        <v/>
      </c>
      <c r="BM22" s="13">
        <f>TEXT(MOD(TIMEVALUE(BM5)+37/1440,1),"HH:MM")</f>
        <v/>
      </c>
    </row>
    <row r="23" ht="16.5" customHeight="1" s="26">
      <c r="A23" s="14" t="inlineStr">
        <is>
          <t>El Libertador</t>
        </is>
      </c>
      <c r="B23" s="15">
        <f>TEXT(MOD(TIMEVALUE(B5)+38/1440,1),"HH:MM")</f>
        <v/>
      </c>
      <c r="C23" s="15">
        <f>TEXT(MOD(TIMEVALUE(C5)+38/1440,1),"HH:MM")</f>
        <v/>
      </c>
      <c r="D23" s="15">
        <f>TEXT(MOD(TIMEVALUE(D5)+38/1440,1),"HH:MM")</f>
        <v/>
      </c>
      <c r="E23" s="15">
        <f>TEXT(MOD(TIMEVALUE(E5)+38/1440,1),"HH:MM")</f>
        <v/>
      </c>
      <c r="F23" s="15">
        <f>TEXT(MOD(TIMEVALUE(F5)+38/1440,1),"HH:MM")</f>
        <v/>
      </c>
      <c r="G23" s="15">
        <f>TEXT(MOD(TIMEVALUE(G5)+38/1440,1),"HH:MM")</f>
        <v/>
      </c>
      <c r="H23" s="15">
        <f>TEXT(MOD(TIMEVALUE(H5)+38/1440,1),"HH:MM")</f>
        <v/>
      </c>
      <c r="I23" s="15">
        <f>TEXT(MOD(TIMEVALUE(I5)+38/1440,1),"HH:MM")</f>
        <v/>
      </c>
      <c r="J23" s="15">
        <f>TEXT(MOD(TIMEVALUE(J5)+38/1440,1),"HH:MM")</f>
        <v/>
      </c>
      <c r="K23" s="15">
        <f>TEXT(MOD(TIMEVALUE(K5)+38/1440,1),"HH:MM")</f>
        <v/>
      </c>
      <c r="L23" s="15">
        <f>TEXT(MOD(TIMEVALUE(L5)+38/1440,1),"HH:MM")</f>
        <v/>
      </c>
      <c r="M23" s="15">
        <f>TEXT(MOD(TIMEVALUE(M5)+38/1440,1),"HH:MM")</f>
        <v/>
      </c>
      <c r="N23" s="15">
        <f>TEXT(MOD(TIMEVALUE(N5)+38/1440,1),"HH:MM")</f>
        <v/>
      </c>
      <c r="O23" s="15">
        <f>TEXT(MOD(TIMEVALUE(O5)+38/1440,1),"HH:MM")</f>
        <v/>
      </c>
      <c r="P23" s="15">
        <f>TEXT(MOD(TIMEVALUE(P5)+38/1440,1),"HH:MM")</f>
        <v/>
      </c>
      <c r="Q23" s="15">
        <f>TEXT(MOD(TIMEVALUE(Q5)+38/1440,1),"HH:MM")</f>
        <v/>
      </c>
      <c r="R23" s="15">
        <f>TEXT(MOD(TIMEVALUE(R5)+38/1440,1),"HH:MM")</f>
        <v/>
      </c>
      <c r="S23" s="15">
        <f>TEXT(MOD(TIMEVALUE(S5)+38/1440,1),"HH:MM")</f>
        <v/>
      </c>
      <c r="T23" s="15">
        <f>TEXT(MOD(TIMEVALUE(T5)+38/1440,1),"HH:MM")</f>
        <v/>
      </c>
      <c r="U23" s="15">
        <f>TEXT(MOD(TIMEVALUE(U5)+38/1440,1),"HH:MM")</f>
        <v/>
      </c>
      <c r="V23" s="15">
        <f>TEXT(MOD(TIMEVALUE(V5)+38/1440,1),"HH:MM")</f>
        <v/>
      </c>
      <c r="W23" s="15">
        <f>TEXT(MOD(TIMEVALUE(W5)+38/1440,1),"HH:MM")</f>
        <v/>
      </c>
      <c r="X23" s="15">
        <f>TEXT(MOD(TIMEVALUE(X5)+38/1440,1),"HH:MM")</f>
        <v/>
      </c>
      <c r="Y23" s="15">
        <f>TEXT(MOD(TIMEVALUE(Y5)+38/1440,1),"HH:MM")</f>
        <v/>
      </c>
      <c r="Z23" s="15">
        <f>TEXT(MOD(TIMEVALUE(Z5)+38/1440,1),"HH:MM")</f>
        <v/>
      </c>
      <c r="AA23" s="15">
        <f>TEXT(MOD(TIMEVALUE(AA5)+38/1440,1),"HH:MM")</f>
        <v/>
      </c>
      <c r="AB23" s="15">
        <f>TEXT(MOD(TIMEVALUE(AB5)+38/1440,1),"HH:MM")</f>
        <v/>
      </c>
      <c r="AC23" s="15">
        <f>TEXT(MOD(TIMEVALUE(AC5)+38/1440,1),"HH:MM")</f>
        <v/>
      </c>
      <c r="AD23" s="15">
        <f>TEXT(MOD(TIMEVALUE(AD5)+38/1440,1),"HH:MM")</f>
        <v/>
      </c>
      <c r="AE23" s="15">
        <f>TEXT(MOD(TIMEVALUE(AE5)+38/1440,1),"HH:MM")</f>
        <v/>
      </c>
      <c r="AF23" s="15">
        <f>TEXT(MOD(TIMEVALUE(AF5)+38/1440,1),"HH:MM")</f>
        <v/>
      </c>
      <c r="AG23" s="15">
        <f>TEXT(MOD(TIMEVALUE(AG5)+38/1440,1),"HH:MM")</f>
        <v/>
      </c>
      <c r="AH23" s="15">
        <f>TEXT(MOD(TIMEVALUE(AH5)+38/1440,1),"HH:MM")</f>
        <v/>
      </c>
      <c r="AI23" s="15">
        <f>TEXT(MOD(TIMEVALUE(AI5)+38/1440,1),"HH:MM")</f>
        <v/>
      </c>
      <c r="AJ23" s="15">
        <f>TEXT(MOD(TIMEVALUE(AJ5)+38/1440,1),"HH:MM")</f>
        <v/>
      </c>
      <c r="AK23" s="15">
        <f>TEXT(MOD(TIMEVALUE(AK5)+38/1440,1),"HH:MM")</f>
        <v/>
      </c>
      <c r="AL23" s="15">
        <f>TEXT(MOD(TIMEVALUE(AL5)+38/1440,1),"HH:MM")</f>
        <v/>
      </c>
      <c r="AM23" s="15">
        <f>TEXT(MOD(TIMEVALUE(AM5)+38/1440,1),"HH:MM")</f>
        <v/>
      </c>
      <c r="AN23" s="15">
        <f>TEXT(MOD(TIMEVALUE(AN5)+38/1440,1),"HH:MM")</f>
        <v/>
      </c>
      <c r="AO23" s="15">
        <f>TEXT(MOD(TIMEVALUE(AO5)+38/1440,1),"HH:MM")</f>
        <v/>
      </c>
      <c r="AP23" s="15">
        <f>TEXT(MOD(TIMEVALUE(AP5)+38/1440,1),"HH:MM")</f>
        <v/>
      </c>
      <c r="AQ23" s="15">
        <f>TEXT(MOD(TIMEVALUE(AQ5)+38/1440,1),"HH:MM")</f>
        <v/>
      </c>
      <c r="AR23" s="15">
        <f>TEXT(MOD(TIMEVALUE(AR5)+38/1440,1),"HH:MM")</f>
        <v/>
      </c>
      <c r="AS23" s="15">
        <f>TEXT(MOD(TIMEVALUE(AS5)+38/1440,1),"HH:MM")</f>
        <v/>
      </c>
      <c r="AT23" s="15">
        <f>TEXT(MOD(TIMEVALUE(AT5)+38/1440,1),"HH:MM")</f>
        <v/>
      </c>
      <c r="AU23" s="15">
        <f>TEXT(MOD(TIMEVALUE(AU5)+38/1440,1),"HH:MM")</f>
        <v/>
      </c>
      <c r="AV23" s="15">
        <f>TEXT(MOD(TIMEVALUE(AV5)+38/1440,1),"HH:MM")</f>
        <v/>
      </c>
      <c r="AW23" s="15">
        <f>TEXT(MOD(TIMEVALUE(AW5)+38/1440,1),"HH:MM")</f>
        <v/>
      </c>
      <c r="AX23" s="15">
        <f>TEXT(MOD(TIMEVALUE(AX5)+38/1440,1),"HH:MM")</f>
        <v/>
      </c>
      <c r="AY23" s="15">
        <f>TEXT(MOD(TIMEVALUE(AY5)+38/1440,1),"HH:MM")</f>
        <v/>
      </c>
      <c r="AZ23" s="15">
        <f>TEXT(MOD(TIMEVALUE(AZ5)+38/1440,1),"HH:MM")</f>
        <v/>
      </c>
      <c r="BA23" s="15">
        <f>TEXT(MOD(TIMEVALUE(BA5)+38/1440,1),"HH:MM")</f>
        <v/>
      </c>
      <c r="BB23" s="15">
        <f>TEXT(MOD(TIMEVALUE(BB5)+38/1440,1),"HH:MM")</f>
        <v/>
      </c>
      <c r="BC23" s="15">
        <f>TEXT(MOD(TIMEVALUE(BC5)+38/1440,1),"HH:MM")</f>
        <v/>
      </c>
      <c r="BD23" s="15">
        <f>TEXT(MOD(TIMEVALUE(BD5)+38/1440,1),"HH:MM")</f>
        <v/>
      </c>
      <c r="BE23" s="15">
        <f>TEXT(MOD(TIMEVALUE(BE5)+38/1440,1),"HH:MM")</f>
        <v/>
      </c>
      <c r="BF23" s="15">
        <f>TEXT(MOD(TIMEVALUE(BF5)+38/1440,1),"HH:MM")</f>
        <v/>
      </c>
      <c r="BG23" s="15">
        <f>TEXT(MOD(TIMEVALUE(BG5)+38/1440,1),"HH:MM")</f>
        <v/>
      </c>
      <c r="BH23" s="15">
        <f>TEXT(MOD(TIMEVALUE(BH5)+38/1440,1),"HH:MM")</f>
        <v/>
      </c>
      <c r="BI23" s="15">
        <f>TEXT(MOD(TIMEVALUE(BI5)+38/1440,1),"HH:MM")</f>
        <v/>
      </c>
      <c r="BJ23" s="15">
        <f>TEXT(MOD(TIMEVALUE(BJ5)+38/1440,1),"HH:MM")</f>
        <v/>
      </c>
      <c r="BK23" s="15">
        <f>TEXT(MOD(TIMEVALUE(BK5)+38/1440,1),"HH:MM")</f>
        <v/>
      </c>
      <c r="BL23" s="15">
        <f>TEXT(MOD(TIMEVALUE(BL5)+38/1440,1),"HH:MM")</f>
        <v/>
      </c>
      <c r="BM23" s="15">
        <f>TEXT(MOD(TIMEVALUE(BM5)+38/1440,1),"HH:MM")</f>
        <v/>
      </c>
    </row>
    <row r="24" ht="16.5" customHeight="1" s="26">
      <c r="A24" s="12" t="inlineStr">
        <is>
          <t>Dr. Fco. Beiró</t>
        </is>
      </c>
      <c r="B24" s="13">
        <f>TEXT(MOD(TIMEVALUE(B5)+39/1440,1),"HH:MM")</f>
        <v/>
      </c>
      <c r="C24" s="13">
        <f>TEXT(MOD(TIMEVALUE(C5)+39/1440,1),"HH:MM")</f>
        <v/>
      </c>
      <c r="D24" s="13">
        <f>TEXT(MOD(TIMEVALUE(D5)+39/1440,1),"HH:MM")</f>
        <v/>
      </c>
      <c r="E24" s="13">
        <f>TEXT(MOD(TIMEVALUE(E5)+39/1440,1),"HH:MM")</f>
        <v/>
      </c>
      <c r="F24" s="13">
        <f>TEXT(MOD(TIMEVALUE(F5)+39/1440,1),"HH:MM")</f>
        <v/>
      </c>
      <c r="G24" s="13">
        <f>TEXT(MOD(TIMEVALUE(G5)+39/1440,1),"HH:MM")</f>
        <v/>
      </c>
      <c r="H24" s="13">
        <f>TEXT(MOD(TIMEVALUE(H5)+39/1440,1),"HH:MM")</f>
        <v/>
      </c>
      <c r="I24" s="13">
        <f>TEXT(MOD(TIMEVALUE(I5)+39/1440,1),"HH:MM")</f>
        <v/>
      </c>
      <c r="J24" s="13">
        <f>TEXT(MOD(TIMEVALUE(J5)+39/1440,1),"HH:MM")</f>
        <v/>
      </c>
      <c r="K24" s="13">
        <f>TEXT(MOD(TIMEVALUE(K5)+39/1440,1),"HH:MM")</f>
        <v/>
      </c>
      <c r="L24" s="13">
        <f>TEXT(MOD(TIMEVALUE(L5)+39/1440,1),"HH:MM")</f>
        <v/>
      </c>
      <c r="M24" s="13">
        <f>TEXT(MOD(TIMEVALUE(M5)+39/1440,1),"HH:MM")</f>
        <v/>
      </c>
      <c r="N24" s="13">
        <f>TEXT(MOD(TIMEVALUE(N5)+39/1440,1),"HH:MM")</f>
        <v/>
      </c>
      <c r="O24" s="13">
        <f>TEXT(MOD(TIMEVALUE(O5)+39/1440,1),"HH:MM")</f>
        <v/>
      </c>
      <c r="P24" s="13">
        <f>TEXT(MOD(TIMEVALUE(P5)+39/1440,1),"HH:MM")</f>
        <v/>
      </c>
      <c r="Q24" s="13">
        <f>TEXT(MOD(TIMEVALUE(Q5)+39/1440,1),"HH:MM")</f>
        <v/>
      </c>
      <c r="R24" s="13">
        <f>TEXT(MOD(TIMEVALUE(R5)+39/1440,1),"HH:MM")</f>
        <v/>
      </c>
      <c r="S24" s="13">
        <f>TEXT(MOD(TIMEVALUE(S5)+39/1440,1),"HH:MM")</f>
        <v/>
      </c>
      <c r="T24" s="13">
        <f>TEXT(MOD(TIMEVALUE(T5)+39/1440,1),"HH:MM")</f>
        <v/>
      </c>
      <c r="U24" s="13">
        <f>TEXT(MOD(TIMEVALUE(U5)+39/1440,1),"HH:MM")</f>
        <v/>
      </c>
      <c r="V24" s="13">
        <f>TEXT(MOD(TIMEVALUE(V5)+39/1440,1),"HH:MM")</f>
        <v/>
      </c>
      <c r="W24" s="13">
        <f>TEXT(MOD(TIMEVALUE(W5)+39/1440,1),"HH:MM")</f>
        <v/>
      </c>
      <c r="X24" s="13">
        <f>TEXT(MOD(TIMEVALUE(X5)+39/1440,1),"HH:MM")</f>
        <v/>
      </c>
      <c r="Y24" s="13">
        <f>TEXT(MOD(TIMEVALUE(Y5)+39/1440,1),"HH:MM")</f>
        <v/>
      </c>
      <c r="Z24" s="13">
        <f>TEXT(MOD(TIMEVALUE(Z5)+39/1440,1),"HH:MM")</f>
        <v/>
      </c>
      <c r="AA24" s="13">
        <f>TEXT(MOD(TIMEVALUE(AA5)+39/1440,1),"HH:MM")</f>
        <v/>
      </c>
      <c r="AB24" s="13">
        <f>TEXT(MOD(TIMEVALUE(AB5)+39/1440,1),"HH:MM")</f>
        <v/>
      </c>
      <c r="AC24" s="13">
        <f>TEXT(MOD(TIMEVALUE(AC5)+39/1440,1),"HH:MM")</f>
        <v/>
      </c>
      <c r="AD24" s="13">
        <f>TEXT(MOD(TIMEVALUE(AD5)+39/1440,1),"HH:MM")</f>
        <v/>
      </c>
      <c r="AE24" s="13">
        <f>TEXT(MOD(TIMEVALUE(AE5)+39/1440,1),"HH:MM")</f>
        <v/>
      </c>
      <c r="AF24" s="13">
        <f>TEXT(MOD(TIMEVALUE(AF5)+39/1440,1),"HH:MM")</f>
        <v/>
      </c>
      <c r="AG24" s="13">
        <f>TEXT(MOD(TIMEVALUE(AG5)+39/1440,1),"HH:MM")</f>
        <v/>
      </c>
      <c r="AH24" s="13">
        <f>TEXT(MOD(TIMEVALUE(AH5)+39/1440,1),"HH:MM")</f>
        <v/>
      </c>
      <c r="AI24" s="13">
        <f>TEXT(MOD(TIMEVALUE(AI5)+39/1440,1),"HH:MM")</f>
        <v/>
      </c>
      <c r="AJ24" s="13">
        <f>TEXT(MOD(TIMEVALUE(AJ5)+39/1440,1),"HH:MM")</f>
        <v/>
      </c>
      <c r="AK24" s="13">
        <f>TEXT(MOD(TIMEVALUE(AK5)+39/1440,1),"HH:MM")</f>
        <v/>
      </c>
      <c r="AL24" s="13">
        <f>TEXT(MOD(TIMEVALUE(AL5)+39/1440,1),"HH:MM")</f>
        <v/>
      </c>
      <c r="AM24" s="13">
        <f>TEXT(MOD(TIMEVALUE(AM5)+39/1440,1),"HH:MM")</f>
        <v/>
      </c>
      <c r="AN24" s="13">
        <f>TEXT(MOD(TIMEVALUE(AN5)+39/1440,1),"HH:MM")</f>
        <v/>
      </c>
      <c r="AO24" s="13">
        <f>TEXT(MOD(TIMEVALUE(AO5)+39/1440,1),"HH:MM")</f>
        <v/>
      </c>
      <c r="AP24" s="13">
        <f>TEXT(MOD(TIMEVALUE(AP5)+39/1440,1),"HH:MM")</f>
        <v/>
      </c>
      <c r="AQ24" s="13">
        <f>TEXT(MOD(TIMEVALUE(AQ5)+39/1440,1),"HH:MM")</f>
        <v/>
      </c>
      <c r="AR24" s="13">
        <f>TEXT(MOD(TIMEVALUE(AR5)+39/1440,1),"HH:MM")</f>
        <v/>
      </c>
      <c r="AS24" s="13">
        <f>TEXT(MOD(TIMEVALUE(AS5)+39/1440,1),"HH:MM")</f>
        <v/>
      </c>
      <c r="AT24" s="13">
        <f>TEXT(MOD(TIMEVALUE(AT5)+39/1440,1),"HH:MM")</f>
        <v/>
      </c>
      <c r="AU24" s="13">
        <f>TEXT(MOD(TIMEVALUE(AU5)+39/1440,1),"HH:MM")</f>
        <v/>
      </c>
      <c r="AV24" s="13">
        <f>TEXT(MOD(TIMEVALUE(AV5)+39/1440,1),"HH:MM")</f>
        <v/>
      </c>
      <c r="AW24" s="13">
        <f>TEXT(MOD(TIMEVALUE(AW5)+39/1440,1),"HH:MM")</f>
        <v/>
      </c>
      <c r="AX24" s="13">
        <f>TEXT(MOD(TIMEVALUE(AX5)+39/1440,1),"HH:MM")</f>
        <v/>
      </c>
      <c r="AY24" s="13">
        <f>TEXT(MOD(TIMEVALUE(AY5)+39/1440,1),"HH:MM")</f>
        <v/>
      </c>
      <c r="AZ24" s="13">
        <f>TEXT(MOD(TIMEVALUE(AZ5)+39/1440,1),"HH:MM")</f>
        <v/>
      </c>
      <c r="BA24" s="13">
        <f>TEXT(MOD(TIMEVALUE(BA5)+39/1440,1),"HH:MM")</f>
        <v/>
      </c>
      <c r="BB24" s="13">
        <f>TEXT(MOD(TIMEVALUE(BB5)+39/1440,1),"HH:MM")</f>
        <v/>
      </c>
      <c r="BC24" s="13">
        <f>TEXT(MOD(TIMEVALUE(BC5)+39/1440,1),"HH:MM")</f>
        <v/>
      </c>
      <c r="BD24" s="13">
        <f>TEXT(MOD(TIMEVALUE(BD5)+39/1440,1),"HH:MM")</f>
        <v/>
      </c>
      <c r="BE24" s="13">
        <f>TEXT(MOD(TIMEVALUE(BE5)+39/1440,1),"HH:MM")</f>
        <v/>
      </c>
      <c r="BF24" s="13">
        <f>TEXT(MOD(TIMEVALUE(BF5)+39/1440,1),"HH:MM")</f>
        <v/>
      </c>
      <c r="BG24" s="13">
        <f>TEXT(MOD(TIMEVALUE(BG5)+39/1440,1),"HH:MM")</f>
        <v/>
      </c>
      <c r="BH24" s="13">
        <f>TEXT(MOD(TIMEVALUE(BH5)+39/1440,1),"HH:MM")</f>
        <v/>
      </c>
      <c r="BI24" s="13">
        <f>TEXT(MOD(TIMEVALUE(BI5)+39/1440,1),"HH:MM")</f>
        <v/>
      </c>
      <c r="BJ24" s="13">
        <f>TEXT(MOD(TIMEVALUE(BJ5)+39/1440,1),"HH:MM")</f>
        <v/>
      </c>
      <c r="BK24" s="13">
        <f>TEXT(MOD(TIMEVALUE(BK5)+39/1440,1),"HH:MM")</f>
        <v/>
      </c>
      <c r="BL24" s="13">
        <f>TEXT(MOD(TIMEVALUE(BL5)+39/1440,1),"HH:MM")</f>
        <v/>
      </c>
      <c r="BM24" s="13">
        <f>TEXT(MOD(TIMEVALUE(BM5)+39/1440,1),"HH:MM")</f>
        <v/>
      </c>
    </row>
    <row r="25" ht="16.5" customHeight="1" s="26">
      <c r="A25" s="14" t="inlineStr">
        <is>
          <t>Pedro N. Arata</t>
        </is>
      </c>
      <c r="B25" s="15">
        <f>TEXT(MOD(TIMEVALUE(B5)+42/1440,1),"HH:MM")</f>
        <v/>
      </c>
      <c r="C25" s="15">
        <f>TEXT(MOD(TIMEVALUE(C5)+42/1440,1),"HH:MM")</f>
        <v/>
      </c>
      <c r="D25" s="15">
        <f>TEXT(MOD(TIMEVALUE(D5)+42/1440,1),"HH:MM")</f>
        <v/>
      </c>
      <c r="E25" s="15">
        <f>TEXT(MOD(TIMEVALUE(E5)+42/1440,1),"HH:MM")</f>
        <v/>
      </c>
      <c r="F25" s="15">
        <f>TEXT(MOD(TIMEVALUE(F5)+42/1440,1),"HH:MM")</f>
        <v/>
      </c>
      <c r="G25" s="15">
        <f>TEXT(MOD(TIMEVALUE(G5)+42/1440,1),"HH:MM")</f>
        <v/>
      </c>
      <c r="H25" s="15">
        <f>TEXT(MOD(TIMEVALUE(H5)+42/1440,1),"HH:MM")</f>
        <v/>
      </c>
      <c r="I25" s="15">
        <f>TEXT(MOD(TIMEVALUE(I5)+42/1440,1),"HH:MM")</f>
        <v/>
      </c>
      <c r="J25" s="15">
        <f>TEXT(MOD(TIMEVALUE(J5)+42/1440,1),"HH:MM")</f>
        <v/>
      </c>
      <c r="K25" s="15">
        <f>TEXT(MOD(TIMEVALUE(K5)+42/1440,1),"HH:MM")</f>
        <v/>
      </c>
      <c r="L25" s="15">
        <f>TEXT(MOD(TIMEVALUE(L5)+42/1440,1),"HH:MM")</f>
        <v/>
      </c>
      <c r="M25" s="15">
        <f>TEXT(MOD(TIMEVALUE(M5)+42/1440,1),"HH:MM")</f>
        <v/>
      </c>
      <c r="N25" s="15">
        <f>TEXT(MOD(TIMEVALUE(N5)+42/1440,1),"HH:MM")</f>
        <v/>
      </c>
      <c r="O25" s="15">
        <f>TEXT(MOD(TIMEVALUE(O5)+42/1440,1),"HH:MM")</f>
        <v/>
      </c>
      <c r="P25" s="15">
        <f>TEXT(MOD(TIMEVALUE(P5)+42/1440,1),"HH:MM")</f>
        <v/>
      </c>
      <c r="Q25" s="15">
        <f>TEXT(MOD(TIMEVALUE(Q5)+42/1440,1),"HH:MM")</f>
        <v/>
      </c>
      <c r="R25" s="15">
        <f>TEXT(MOD(TIMEVALUE(R5)+42/1440,1),"HH:MM")</f>
        <v/>
      </c>
      <c r="S25" s="15">
        <f>TEXT(MOD(TIMEVALUE(S5)+42/1440,1),"HH:MM")</f>
        <v/>
      </c>
      <c r="T25" s="15">
        <f>TEXT(MOD(TIMEVALUE(T5)+42/1440,1),"HH:MM")</f>
        <v/>
      </c>
      <c r="U25" s="15">
        <f>TEXT(MOD(TIMEVALUE(U5)+42/1440,1),"HH:MM")</f>
        <v/>
      </c>
      <c r="V25" s="15">
        <f>TEXT(MOD(TIMEVALUE(V5)+42/1440,1),"HH:MM")</f>
        <v/>
      </c>
      <c r="W25" s="15">
        <f>TEXT(MOD(TIMEVALUE(W5)+42/1440,1),"HH:MM")</f>
        <v/>
      </c>
      <c r="X25" s="15">
        <f>TEXT(MOD(TIMEVALUE(X5)+42/1440,1),"HH:MM")</f>
        <v/>
      </c>
      <c r="Y25" s="15">
        <f>TEXT(MOD(TIMEVALUE(Y5)+42/1440,1),"HH:MM")</f>
        <v/>
      </c>
      <c r="Z25" s="15">
        <f>TEXT(MOD(TIMEVALUE(Z5)+42/1440,1),"HH:MM")</f>
        <v/>
      </c>
      <c r="AA25" s="15">
        <f>TEXT(MOD(TIMEVALUE(AA5)+42/1440,1),"HH:MM")</f>
        <v/>
      </c>
      <c r="AB25" s="15">
        <f>TEXT(MOD(TIMEVALUE(AB5)+42/1440,1),"HH:MM")</f>
        <v/>
      </c>
      <c r="AC25" s="15">
        <f>TEXT(MOD(TIMEVALUE(AC5)+42/1440,1),"HH:MM")</f>
        <v/>
      </c>
      <c r="AD25" s="15">
        <f>TEXT(MOD(TIMEVALUE(AD5)+42/1440,1),"HH:MM")</f>
        <v/>
      </c>
      <c r="AE25" s="15">
        <f>TEXT(MOD(TIMEVALUE(AE5)+42/1440,1),"HH:MM")</f>
        <v/>
      </c>
      <c r="AF25" s="15">
        <f>TEXT(MOD(TIMEVALUE(AF5)+42/1440,1),"HH:MM")</f>
        <v/>
      </c>
      <c r="AG25" s="15">
        <f>TEXT(MOD(TIMEVALUE(AG5)+42/1440,1),"HH:MM")</f>
        <v/>
      </c>
      <c r="AH25" s="15">
        <f>TEXT(MOD(TIMEVALUE(AH5)+42/1440,1),"HH:MM")</f>
        <v/>
      </c>
      <c r="AI25" s="15">
        <f>TEXT(MOD(TIMEVALUE(AI5)+42/1440,1),"HH:MM")</f>
        <v/>
      </c>
      <c r="AJ25" s="15">
        <f>TEXT(MOD(TIMEVALUE(AJ5)+42/1440,1),"HH:MM")</f>
        <v/>
      </c>
      <c r="AK25" s="15">
        <f>TEXT(MOD(TIMEVALUE(AK5)+42/1440,1),"HH:MM")</f>
        <v/>
      </c>
      <c r="AL25" s="15">
        <f>TEXT(MOD(TIMEVALUE(AL5)+42/1440,1),"HH:MM")</f>
        <v/>
      </c>
      <c r="AM25" s="15">
        <f>TEXT(MOD(TIMEVALUE(AM5)+42/1440,1),"HH:MM")</f>
        <v/>
      </c>
      <c r="AN25" s="15">
        <f>TEXT(MOD(TIMEVALUE(AN5)+42/1440,1),"HH:MM")</f>
        <v/>
      </c>
      <c r="AO25" s="15">
        <f>TEXT(MOD(TIMEVALUE(AO5)+42/1440,1),"HH:MM")</f>
        <v/>
      </c>
      <c r="AP25" s="15">
        <f>TEXT(MOD(TIMEVALUE(AP5)+42/1440,1),"HH:MM")</f>
        <v/>
      </c>
      <c r="AQ25" s="15">
        <f>TEXT(MOD(TIMEVALUE(AQ5)+42/1440,1),"HH:MM")</f>
        <v/>
      </c>
      <c r="AR25" s="15">
        <f>TEXT(MOD(TIMEVALUE(AR5)+42/1440,1),"HH:MM")</f>
        <v/>
      </c>
      <c r="AS25" s="15">
        <f>TEXT(MOD(TIMEVALUE(AS5)+42/1440,1),"HH:MM")</f>
        <v/>
      </c>
      <c r="AT25" s="15">
        <f>TEXT(MOD(TIMEVALUE(AT5)+42/1440,1),"HH:MM")</f>
        <v/>
      </c>
      <c r="AU25" s="15">
        <f>TEXT(MOD(TIMEVALUE(AU5)+42/1440,1),"HH:MM")</f>
        <v/>
      </c>
      <c r="AV25" s="15">
        <f>TEXT(MOD(TIMEVALUE(AV5)+42/1440,1),"HH:MM")</f>
        <v/>
      </c>
      <c r="AW25" s="15">
        <f>TEXT(MOD(TIMEVALUE(AW5)+42/1440,1),"HH:MM")</f>
        <v/>
      </c>
      <c r="AX25" s="15">
        <f>TEXT(MOD(TIMEVALUE(AX5)+42/1440,1),"HH:MM")</f>
        <v/>
      </c>
      <c r="AY25" s="15">
        <f>TEXT(MOD(TIMEVALUE(AY5)+42/1440,1),"HH:MM")</f>
        <v/>
      </c>
      <c r="AZ25" s="15">
        <f>TEXT(MOD(TIMEVALUE(AZ5)+42/1440,1),"HH:MM")</f>
        <v/>
      </c>
      <c r="BA25" s="15">
        <f>TEXT(MOD(TIMEVALUE(BA5)+42/1440,1),"HH:MM")</f>
        <v/>
      </c>
      <c r="BB25" s="15">
        <f>TEXT(MOD(TIMEVALUE(BB5)+42/1440,1),"HH:MM")</f>
        <v/>
      </c>
      <c r="BC25" s="15">
        <f>TEXT(MOD(TIMEVALUE(BC5)+42/1440,1),"HH:MM")</f>
        <v/>
      </c>
      <c r="BD25" s="15">
        <f>TEXT(MOD(TIMEVALUE(BD5)+42/1440,1),"HH:MM")</f>
        <v/>
      </c>
      <c r="BE25" s="15">
        <f>TEXT(MOD(TIMEVALUE(BE5)+42/1440,1),"HH:MM")</f>
        <v/>
      </c>
      <c r="BF25" s="15">
        <f>TEXT(MOD(TIMEVALUE(BF5)+42/1440,1),"HH:MM")</f>
        <v/>
      </c>
      <c r="BG25" s="15">
        <f>TEXT(MOD(TIMEVALUE(BG5)+42/1440,1),"HH:MM")</f>
        <v/>
      </c>
      <c r="BH25" s="15">
        <f>TEXT(MOD(TIMEVALUE(BH5)+42/1440,1),"HH:MM")</f>
        <v/>
      </c>
      <c r="BI25" s="15">
        <f>TEXT(MOD(TIMEVALUE(BI5)+42/1440,1),"HH:MM")</f>
        <v/>
      </c>
      <c r="BJ25" s="15">
        <f>TEXT(MOD(TIMEVALUE(BJ5)+42/1440,1),"HH:MM")</f>
        <v/>
      </c>
      <c r="BK25" s="15">
        <f>TEXT(MOD(TIMEVALUE(BK5)+42/1440,1),"HH:MM")</f>
        <v/>
      </c>
      <c r="BL25" s="15">
        <f>TEXT(MOD(TIMEVALUE(BL5)+42/1440,1),"HH:MM")</f>
        <v/>
      </c>
      <c r="BM25" s="15">
        <f>TEXT(MOD(TIMEVALUE(BM5)+42/1440,1),"HH:MM")</f>
        <v/>
      </c>
    </row>
    <row r="26" ht="16.5" customHeight="1" s="26">
      <c r="A26" s="12" t="inlineStr">
        <is>
          <t>José Artigas</t>
        </is>
      </c>
      <c r="B26" s="13">
        <f>TEXT(MOD(TIMEVALUE(B5)+44/1440,1),"HH:MM")</f>
        <v/>
      </c>
      <c r="C26" s="13">
        <f>TEXT(MOD(TIMEVALUE(C5)+44/1440,1),"HH:MM")</f>
        <v/>
      </c>
      <c r="D26" s="13">
        <f>TEXT(MOD(TIMEVALUE(D5)+44/1440,1),"HH:MM")</f>
        <v/>
      </c>
      <c r="E26" s="13">
        <f>TEXT(MOD(TIMEVALUE(E5)+44/1440,1),"HH:MM")</f>
        <v/>
      </c>
      <c r="F26" s="13">
        <f>TEXT(MOD(TIMEVALUE(F5)+44/1440,1),"HH:MM")</f>
        <v/>
      </c>
      <c r="G26" s="13">
        <f>TEXT(MOD(TIMEVALUE(G5)+44/1440,1),"HH:MM")</f>
        <v/>
      </c>
      <c r="H26" s="13">
        <f>TEXT(MOD(TIMEVALUE(H5)+44/1440,1),"HH:MM")</f>
        <v/>
      </c>
      <c r="I26" s="13">
        <f>TEXT(MOD(TIMEVALUE(I5)+44/1440,1),"HH:MM")</f>
        <v/>
      </c>
      <c r="J26" s="13">
        <f>TEXT(MOD(TIMEVALUE(J5)+44/1440,1),"HH:MM")</f>
        <v/>
      </c>
      <c r="K26" s="13">
        <f>TEXT(MOD(TIMEVALUE(K5)+44/1440,1),"HH:MM")</f>
        <v/>
      </c>
      <c r="L26" s="13">
        <f>TEXT(MOD(TIMEVALUE(L5)+44/1440,1),"HH:MM")</f>
        <v/>
      </c>
      <c r="M26" s="13">
        <f>TEXT(MOD(TIMEVALUE(M5)+44/1440,1),"HH:MM")</f>
        <v/>
      </c>
      <c r="N26" s="13">
        <f>TEXT(MOD(TIMEVALUE(N5)+44/1440,1),"HH:MM")</f>
        <v/>
      </c>
      <c r="O26" s="13">
        <f>TEXT(MOD(TIMEVALUE(O5)+44/1440,1),"HH:MM")</f>
        <v/>
      </c>
      <c r="P26" s="13">
        <f>TEXT(MOD(TIMEVALUE(P5)+44/1440,1),"HH:MM")</f>
        <v/>
      </c>
      <c r="Q26" s="13">
        <f>TEXT(MOD(TIMEVALUE(Q5)+44/1440,1),"HH:MM")</f>
        <v/>
      </c>
      <c r="R26" s="13">
        <f>TEXT(MOD(TIMEVALUE(R5)+44/1440,1),"HH:MM")</f>
        <v/>
      </c>
      <c r="S26" s="13">
        <f>TEXT(MOD(TIMEVALUE(S5)+44/1440,1),"HH:MM")</f>
        <v/>
      </c>
      <c r="T26" s="13">
        <f>TEXT(MOD(TIMEVALUE(T5)+44/1440,1),"HH:MM")</f>
        <v/>
      </c>
      <c r="U26" s="13">
        <f>TEXT(MOD(TIMEVALUE(U5)+44/1440,1),"HH:MM")</f>
        <v/>
      </c>
      <c r="V26" s="13">
        <f>TEXT(MOD(TIMEVALUE(V5)+44/1440,1),"HH:MM")</f>
        <v/>
      </c>
      <c r="W26" s="13">
        <f>TEXT(MOD(TIMEVALUE(W5)+44/1440,1),"HH:MM")</f>
        <v/>
      </c>
      <c r="X26" s="13">
        <f>TEXT(MOD(TIMEVALUE(X5)+44/1440,1),"HH:MM")</f>
        <v/>
      </c>
      <c r="Y26" s="13">
        <f>TEXT(MOD(TIMEVALUE(Y5)+44/1440,1),"HH:MM")</f>
        <v/>
      </c>
      <c r="Z26" s="13">
        <f>TEXT(MOD(TIMEVALUE(Z5)+44/1440,1),"HH:MM")</f>
        <v/>
      </c>
      <c r="AA26" s="13">
        <f>TEXT(MOD(TIMEVALUE(AA5)+44/1440,1),"HH:MM")</f>
        <v/>
      </c>
      <c r="AB26" s="13">
        <f>TEXT(MOD(TIMEVALUE(AB5)+44/1440,1),"HH:MM")</f>
        <v/>
      </c>
      <c r="AC26" s="13">
        <f>TEXT(MOD(TIMEVALUE(AC5)+44/1440,1),"HH:MM")</f>
        <v/>
      </c>
      <c r="AD26" s="13">
        <f>TEXT(MOD(TIMEVALUE(AD5)+44/1440,1),"HH:MM")</f>
        <v/>
      </c>
      <c r="AE26" s="13">
        <f>TEXT(MOD(TIMEVALUE(AE5)+44/1440,1),"HH:MM")</f>
        <v/>
      </c>
      <c r="AF26" s="13">
        <f>TEXT(MOD(TIMEVALUE(AF5)+44/1440,1),"HH:MM")</f>
        <v/>
      </c>
      <c r="AG26" s="13">
        <f>TEXT(MOD(TIMEVALUE(AG5)+44/1440,1),"HH:MM")</f>
        <v/>
      </c>
      <c r="AH26" s="13">
        <f>TEXT(MOD(TIMEVALUE(AH5)+44/1440,1),"HH:MM")</f>
        <v/>
      </c>
      <c r="AI26" s="13">
        <f>TEXT(MOD(TIMEVALUE(AI5)+44/1440,1),"HH:MM")</f>
        <v/>
      </c>
      <c r="AJ26" s="13">
        <f>TEXT(MOD(TIMEVALUE(AJ5)+44/1440,1),"HH:MM")</f>
        <v/>
      </c>
      <c r="AK26" s="13">
        <f>TEXT(MOD(TIMEVALUE(AK5)+44/1440,1),"HH:MM")</f>
        <v/>
      </c>
      <c r="AL26" s="13">
        <f>TEXT(MOD(TIMEVALUE(AL5)+44/1440,1),"HH:MM")</f>
        <v/>
      </c>
      <c r="AM26" s="13">
        <f>TEXT(MOD(TIMEVALUE(AM5)+44/1440,1),"HH:MM")</f>
        <v/>
      </c>
      <c r="AN26" s="13">
        <f>TEXT(MOD(TIMEVALUE(AN5)+44/1440,1),"HH:MM")</f>
        <v/>
      </c>
      <c r="AO26" s="13">
        <f>TEXT(MOD(TIMEVALUE(AO5)+44/1440,1),"HH:MM")</f>
        <v/>
      </c>
      <c r="AP26" s="13">
        <f>TEXT(MOD(TIMEVALUE(AP5)+44/1440,1),"HH:MM")</f>
        <v/>
      </c>
      <c r="AQ26" s="13">
        <f>TEXT(MOD(TIMEVALUE(AQ5)+44/1440,1),"HH:MM")</f>
        <v/>
      </c>
      <c r="AR26" s="13">
        <f>TEXT(MOD(TIMEVALUE(AR5)+44/1440,1),"HH:MM")</f>
        <v/>
      </c>
      <c r="AS26" s="13">
        <f>TEXT(MOD(TIMEVALUE(AS5)+44/1440,1),"HH:MM")</f>
        <v/>
      </c>
      <c r="AT26" s="13">
        <f>TEXT(MOD(TIMEVALUE(AT5)+44/1440,1),"HH:MM")</f>
        <v/>
      </c>
      <c r="AU26" s="13">
        <f>TEXT(MOD(TIMEVALUE(AU5)+44/1440,1),"HH:MM")</f>
        <v/>
      </c>
      <c r="AV26" s="13">
        <f>TEXT(MOD(TIMEVALUE(AV5)+44/1440,1),"HH:MM")</f>
        <v/>
      </c>
      <c r="AW26" s="13">
        <f>TEXT(MOD(TIMEVALUE(AW5)+44/1440,1),"HH:MM")</f>
        <v/>
      </c>
      <c r="AX26" s="13">
        <f>TEXT(MOD(TIMEVALUE(AX5)+44/1440,1),"HH:MM")</f>
        <v/>
      </c>
      <c r="AY26" s="13">
        <f>TEXT(MOD(TIMEVALUE(AY5)+44/1440,1),"HH:MM")</f>
        <v/>
      </c>
      <c r="AZ26" s="13">
        <f>TEXT(MOD(TIMEVALUE(AZ5)+44/1440,1),"HH:MM")</f>
        <v/>
      </c>
      <c r="BA26" s="13">
        <f>TEXT(MOD(TIMEVALUE(BA5)+44/1440,1),"HH:MM")</f>
        <v/>
      </c>
      <c r="BB26" s="13">
        <f>TEXT(MOD(TIMEVALUE(BB5)+44/1440,1),"HH:MM")</f>
        <v/>
      </c>
      <c r="BC26" s="13">
        <f>TEXT(MOD(TIMEVALUE(BC5)+44/1440,1),"HH:MM")</f>
        <v/>
      </c>
      <c r="BD26" s="13">
        <f>TEXT(MOD(TIMEVALUE(BD5)+44/1440,1),"HH:MM")</f>
        <v/>
      </c>
      <c r="BE26" s="13">
        <f>TEXT(MOD(TIMEVALUE(BE5)+44/1440,1),"HH:MM")</f>
        <v/>
      </c>
      <c r="BF26" s="13">
        <f>TEXT(MOD(TIMEVALUE(BF5)+44/1440,1),"HH:MM")</f>
        <v/>
      </c>
      <c r="BG26" s="13">
        <f>TEXT(MOD(TIMEVALUE(BG5)+44/1440,1),"HH:MM")</f>
        <v/>
      </c>
      <c r="BH26" s="13">
        <f>TEXT(MOD(TIMEVALUE(BH5)+44/1440,1),"HH:MM")</f>
        <v/>
      </c>
      <c r="BI26" s="13">
        <f>TEXT(MOD(TIMEVALUE(BI5)+44/1440,1),"HH:MM")</f>
        <v/>
      </c>
      <c r="BJ26" s="13">
        <f>TEXT(MOD(TIMEVALUE(BJ5)+44/1440,1),"HH:MM")</f>
        <v/>
      </c>
      <c r="BK26" s="13">
        <f>TEXT(MOD(TIMEVALUE(BK5)+44/1440,1),"HH:MM")</f>
        <v/>
      </c>
      <c r="BL26" s="13">
        <f>TEXT(MOD(TIMEVALUE(BL5)+44/1440,1),"HH:MM")</f>
        <v/>
      </c>
      <c r="BM26" s="13">
        <f>TEXT(MOD(TIMEVALUE(BM5)+44/1440,1),"HH:MM")</f>
        <v/>
      </c>
    </row>
    <row r="27" ht="16.5" customHeight="1" s="26">
      <c r="A27" s="14" t="inlineStr">
        <is>
          <t>Federico Lacroze</t>
        </is>
      </c>
      <c r="B27" s="15">
        <f>TEXT(MOD(TIMEVALUE(B5)+49/1440,1),"HH:MM")</f>
        <v/>
      </c>
      <c r="C27" s="15">
        <f>TEXT(MOD(TIMEVALUE(C5)+49/1440,1),"HH:MM")</f>
        <v/>
      </c>
      <c r="D27" s="15">
        <f>TEXT(MOD(TIMEVALUE(D5)+49/1440,1),"HH:MM")</f>
        <v/>
      </c>
      <c r="E27" s="15">
        <f>TEXT(MOD(TIMEVALUE(E5)+49/1440,1),"HH:MM")</f>
        <v/>
      </c>
      <c r="F27" s="15">
        <f>TEXT(MOD(TIMEVALUE(F5)+49/1440,1),"HH:MM")</f>
        <v/>
      </c>
      <c r="G27" s="15">
        <f>TEXT(MOD(TIMEVALUE(G5)+49/1440,1),"HH:MM")</f>
        <v/>
      </c>
      <c r="H27" s="15">
        <f>TEXT(MOD(TIMEVALUE(H5)+49/1440,1),"HH:MM")</f>
        <v/>
      </c>
      <c r="I27" s="15">
        <f>TEXT(MOD(TIMEVALUE(I5)+49/1440,1),"HH:MM")</f>
        <v/>
      </c>
      <c r="J27" s="15">
        <f>TEXT(MOD(TIMEVALUE(J5)+49/1440,1),"HH:MM")</f>
        <v/>
      </c>
      <c r="K27" s="15">
        <f>TEXT(MOD(TIMEVALUE(K5)+49/1440,1),"HH:MM")</f>
        <v/>
      </c>
      <c r="L27" s="15">
        <f>TEXT(MOD(TIMEVALUE(L5)+49/1440,1),"HH:MM")</f>
        <v/>
      </c>
      <c r="M27" s="15">
        <f>TEXT(MOD(TIMEVALUE(M5)+49/1440,1),"HH:MM")</f>
        <v/>
      </c>
      <c r="N27" s="15">
        <f>TEXT(MOD(TIMEVALUE(N5)+49/1440,1),"HH:MM")</f>
        <v/>
      </c>
      <c r="O27" s="15">
        <f>TEXT(MOD(TIMEVALUE(O5)+49/1440,1),"HH:MM")</f>
        <v/>
      </c>
      <c r="P27" s="15">
        <f>TEXT(MOD(TIMEVALUE(P5)+49/1440,1),"HH:MM")</f>
        <v/>
      </c>
      <c r="Q27" s="15">
        <f>TEXT(MOD(TIMEVALUE(Q5)+49/1440,1),"HH:MM")</f>
        <v/>
      </c>
      <c r="R27" s="15">
        <f>TEXT(MOD(TIMEVALUE(R5)+49/1440,1),"HH:MM")</f>
        <v/>
      </c>
      <c r="S27" s="15">
        <f>TEXT(MOD(TIMEVALUE(S5)+49/1440,1),"HH:MM")</f>
        <v/>
      </c>
      <c r="T27" s="15">
        <f>TEXT(MOD(TIMEVALUE(T5)+49/1440,1),"HH:MM")</f>
        <v/>
      </c>
      <c r="U27" s="15">
        <f>TEXT(MOD(TIMEVALUE(U5)+49/1440,1),"HH:MM")</f>
        <v/>
      </c>
      <c r="V27" s="15">
        <f>TEXT(MOD(TIMEVALUE(V5)+49/1440,1),"HH:MM")</f>
        <v/>
      </c>
      <c r="W27" s="15">
        <f>TEXT(MOD(TIMEVALUE(W5)+49/1440,1),"HH:MM")</f>
        <v/>
      </c>
      <c r="X27" s="15">
        <f>TEXT(MOD(TIMEVALUE(X5)+49/1440,1),"HH:MM")</f>
        <v/>
      </c>
      <c r="Y27" s="15">
        <f>TEXT(MOD(TIMEVALUE(Y5)+49/1440,1),"HH:MM")</f>
        <v/>
      </c>
      <c r="Z27" s="15">
        <f>TEXT(MOD(TIMEVALUE(Z5)+49/1440,1),"HH:MM")</f>
        <v/>
      </c>
      <c r="AA27" s="15">
        <f>TEXT(MOD(TIMEVALUE(AA5)+49/1440,1),"HH:MM")</f>
        <v/>
      </c>
      <c r="AB27" s="15">
        <f>TEXT(MOD(TIMEVALUE(AB5)+49/1440,1),"HH:MM")</f>
        <v/>
      </c>
      <c r="AC27" s="15">
        <f>TEXT(MOD(TIMEVALUE(AC5)+49/1440,1),"HH:MM")</f>
        <v/>
      </c>
      <c r="AD27" s="15">
        <f>TEXT(MOD(TIMEVALUE(AD5)+49/1440,1),"HH:MM")</f>
        <v/>
      </c>
      <c r="AE27" s="15">
        <f>TEXT(MOD(TIMEVALUE(AE5)+49/1440,1),"HH:MM")</f>
        <v/>
      </c>
      <c r="AF27" s="15">
        <f>TEXT(MOD(TIMEVALUE(AF5)+49/1440,1),"HH:MM")</f>
        <v/>
      </c>
      <c r="AG27" s="15">
        <f>TEXT(MOD(TIMEVALUE(AG5)+49/1440,1),"HH:MM")</f>
        <v/>
      </c>
      <c r="AH27" s="15">
        <f>TEXT(MOD(TIMEVALUE(AH5)+49/1440,1),"HH:MM")</f>
        <v/>
      </c>
      <c r="AI27" s="15">
        <f>TEXT(MOD(TIMEVALUE(AI5)+49/1440,1),"HH:MM")</f>
        <v/>
      </c>
      <c r="AJ27" s="15">
        <f>TEXT(MOD(TIMEVALUE(AJ5)+49/1440,1),"HH:MM")</f>
        <v/>
      </c>
      <c r="AK27" s="15">
        <f>TEXT(MOD(TIMEVALUE(AK5)+49/1440,1),"HH:MM")</f>
        <v/>
      </c>
      <c r="AL27" s="15">
        <f>TEXT(MOD(TIMEVALUE(AL5)+49/1440,1),"HH:MM")</f>
        <v/>
      </c>
      <c r="AM27" s="15">
        <f>TEXT(MOD(TIMEVALUE(AM5)+49/1440,1),"HH:MM")</f>
        <v/>
      </c>
      <c r="AN27" s="15">
        <f>TEXT(MOD(TIMEVALUE(AN5)+49/1440,1),"HH:MM")</f>
        <v/>
      </c>
      <c r="AO27" s="15">
        <f>TEXT(MOD(TIMEVALUE(AO5)+49/1440,1),"HH:MM")</f>
        <v/>
      </c>
      <c r="AP27" s="15">
        <f>TEXT(MOD(TIMEVALUE(AP5)+49/1440,1),"HH:MM")</f>
        <v/>
      </c>
      <c r="AQ27" s="15">
        <f>TEXT(MOD(TIMEVALUE(AQ5)+49/1440,1),"HH:MM")</f>
        <v/>
      </c>
      <c r="AR27" s="15">
        <f>TEXT(MOD(TIMEVALUE(AR5)+49/1440,1),"HH:MM")</f>
        <v/>
      </c>
      <c r="AS27" s="15">
        <f>TEXT(MOD(TIMEVALUE(AS5)+49/1440,1),"HH:MM")</f>
        <v/>
      </c>
      <c r="AT27" s="15">
        <f>TEXT(MOD(TIMEVALUE(AT5)+49/1440,1),"HH:MM")</f>
        <v/>
      </c>
      <c r="AU27" s="15">
        <f>TEXT(MOD(TIMEVALUE(AU5)+49/1440,1),"HH:MM")</f>
        <v/>
      </c>
      <c r="AV27" s="15">
        <f>TEXT(MOD(TIMEVALUE(AV5)+49/1440,1),"HH:MM")</f>
        <v/>
      </c>
      <c r="AW27" s="15">
        <f>TEXT(MOD(TIMEVALUE(AW5)+49/1440,1),"HH:MM")</f>
        <v/>
      </c>
      <c r="AX27" s="15">
        <f>TEXT(MOD(TIMEVALUE(AX5)+49/1440,1),"HH:MM")</f>
        <v/>
      </c>
      <c r="AY27" s="15">
        <f>TEXT(MOD(TIMEVALUE(AY5)+49/1440,1),"HH:MM")</f>
        <v/>
      </c>
      <c r="AZ27" s="15">
        <f>TEXT(MOD(TIMEVALUE(AZ5)+49/1440,1),"HH:MM")</f>
        <v/>
      </c>
      <c r="BA27" s="15">
        <f>TEXT(MOD(TIMEVALUE(BA5)+49/1440,1),"HH:MM")</f>
        <v/>
      </c>
      <c r="BB27" s="15">
        <f>TEXT(MOD(TIMEVALUE(BB5)+49/1440,1),"HH:MM")</f>
        <v/>
      </c>
      <c r="BC27" s="15">
        <f>TEXT(MOD(TIMEVALUE(BC5)+49/1440,1),"HH:MM")</f>
        <v/>
      </c>
      <c r="BD27" s="15">
        <f>TEXT(MOD(TIMEVALUE(BD5)+49/1440,1),"HH:MM")</f>
        <v/>
      </c>
      <c r="BE27" s="15">
        <f>TEXT(MOD(TIMEVALUE(BE5)+49/1440,1),"HH:MM")</f>
        <v/>
      </c>
      <c r="BF27" s="15">
        <f>TEXT(MOD(TIMEVALUE(BF5)+49/1440,1),"HH:MM")</f>
        <v/>
      </c>
      <c r="BG27" s="15">
        <f>TEXT(MOD(TIMEVALUE(BG5)+49/1440,1),"HH:MM")</f>
        <v/>
      </c>
      <c r="BH27" s="15">
        <f>TEXT(MOD(TIMEVALUE(BH5)+49/1440,1),"HH:MM")</f>
        <v/>
      </c>
      <c r="BI27" s="15">
        <f>TEXT(MOD(TIMEVALUE(BI5)+49/1440,1),"HH:MM")</f>
        <v/>
      </c>
      <c r="BJ27" s="15">
        <f>TEXT(MOD(TIMEVALUE(BJ5)+49/1440,1),"HH:MM")</f>
        <v/>
      </c>
      <c r="BK27" s="15">
        <f>TEXT(MOD(TIMEVALUE(BK5)+49/1440,1),"HH:MM")</f>
        <v/>
      </c>
      <c r="BL27" s="15">
        <f>TEXT(MOD(TIMEVALUE(BL5)+49/1440,1),"HH:MM")</f>
        <v/>
      </c>
      <c r="BM27" s="15">
        <f>TEXT(MOD(TIMEVALUE(BM5)+49/1440,1),"HH:MM")</f>
        <v/>
      </c>
    </row>
    <row r="28" ht="15.75" customHeight="1" s="26"/>
    <row r="29" ht="15.75" customHeight="1" s="26">
      <c r="A29" s="16" t="inlineStr">
        <is>
          <t>Fuente: Horario Mural Invierno 2026, Metrovías — metrovias.com.ar  |  Modificar la hora de salida en la fila de la estación de origen para recalcular todo el recorrido.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  <c r="AP29" s="16" t="n"/>
      <c r="AQ29" s="16" t="n"/>
      <c r="AR29" s="16" t="n"/>
      <c r="AS29" s="16" t="n"/>
      <c r="AT29" s="16" t="n"/>
      <c r="AU29" s="16" t="n"/>
      <c r="AV29" s="16" t="n"/>
      <c r="AW29" s="16" t="n"/>
      <c r="AX29" s="16" t="n"/>
      <c r="AY29" s="16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  <c r="BL29" s="16" t="n"/>
      <c r="BM29" s="16" t="n"/>
    </row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9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4.43" defaultRowHeight="15" customHeight="1"/>
  <cols>
    <col width="24" customWidth="1" style="26" min="1" max="1"/>
    <col width="7" customWidth="1" style="26" min="2" max="40"/>
  </cols>
  <sheetData>
    <row r="1" ht="27.75" customHeight="1" s="26">
      <c r="A1" s="1" t="inlineStr">
        <is>
          <t>Tren Urquiza — Domingos → Lacroze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3" t="n"/>
    </row>
    <row r="2" ht="15.75" customHeight="1" s="26">
      <c r="A2" s="4" t="inlineStr">
        <is>
          <t>Salida desde General Lemos  |  Horario Mural Invierno 2026 — Metrovías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6" t="n"/>
    </row>
    <row r="3" ht="4.5" customHeight="1" s="26"/>
    <row r="4" ht="19.5" customHeight="1" s="26">
      <c r="A4" s="7" t="inlineStr">
        <is>
          <t>Estación</t>
        </is>
      </c>
      <c r="B4" s="9" t="inlineStr">
        <is>
          <t>00:01</t>
        </is>
      </c>
      <c r="C4" s="9" t="inlineStr">
        <is>
          <t>03:12</t>
        </is>
      </c>
      <c r="D4" s="9" t="inlineStr">
        <is>
          <t>04:15</t>
        </is>
      </c>
      <c r="E4" s="9" t="inlineStr">
        <is>
          <t>05:30</t>
        </is>
      </c>
      <c r="F4" s="9" t="inlineStr">
        <is>
          <t>06:20</t>
        </is>
      </c>
      <c r="G4" s="9" t="inlineStr">
        <is>
          <t>06:55</t>
        </is>
      </c>
      <c r="H4" s="9" t="inlineStr">
        <is>
          <t>07:25</t>
        </is>
      </c>
      <c r="I4" s="9" t="inlineStr">
        <is>
          <t>07:55</t>
        </is>
      </c>
      <c r="J4" s="9" t="inlineStr">
        <is>
          <t>08:25</t>
        </is>
      </c>
      <c r="K4" s="9" t="inlineStr">
        <is>
          <t>08:55</t>
        </is>
      </c>
      <c r="L4" s="9" t="inlineStr">
        <is>
          <t>09:25</t>
        </is>
      </c>
      <c r="M4" s="9" t="inlineStr">
        <is>
          <t>09:55</t>
        </is>
      </c>
      <c r="N4" s="9" t="inlineStr">
        <is>
          <t>10:25</t>
        </is>
      </c>
      <c r="O4" s="9" t="inlineStr">
        <is>
          <t>10:55</t>
        </is>
      </c>
      <c r="P4" s="9" t="inlineStr">
        <is>
          <t>11:25</t>
        </is>
      </c>
      <c r="Q4" s="9" t="inlineStr">
        <is>
          <t>11:55</t>
        </is>
      </c>
      <c r="R4" s="9" t="inlineStr">
        <is>
          <t>12:25</t>
        </is>
      </c>
      <c r="S4" s="9" t="inlineStr">
        <is>
          <t>12:55</t>
        </is>
      </c>
      <c r="T4" s="9" t="inlineStr">
        <is>
          <t>13:25</t>
        </is>
      </c>
      <c r="U4" s="9" t="inlineStr">
        <is>
          <t>13:55</t>
        </is>
      </c>
      <c r="V4" s="9" t="inlineStr">
        <is>
          <t>14:25</t>
        </is>
      </c>
      <c r="W4" s="9" t="inlineStr">
        <is>
          <t>14:55</t>
        </is>
      </c>
      <c r="X4" s="9" t="inlineStr">
        <is>
          <t>15:25</t>
        </is>
      </c>
      <c r="Y4" s="9" t="inlineStr">
        <is>
          <t>15:55</t>
        </is>
      </c>
      <c r="Z4" s="9" t="inlineStr">
        <is>
          <t>16:25</t>
        </is>
      </c>
      <c r="AA4" s="9" t="inlineStr">
        <is>
          <t>16:55</t>
        </is>
      </c>
      <c r="AB4" s="9" t="inlineStr">
        <is>
          <t>17:25</t>
        </is>
      </c>
      <c r="AC4" s="9" t="inlineStr">
        <is>
          <t>17:55</t>
        </is>
      </c>
      <c r="AD4" s="9" t="inlineStr">
        <is>
          <t>18:25</t>
        </is>
      </c>
      <c r="AE4" s="9" t="inlineStr">
        <is>
          <t>18:55</t>
        </is>
      </c>
      <c r="AF4" s="9" t="inlineStr">
        <is>
          <t>19:25</t>
        </is>
      </c>
      <c r="AG4" s="9" t="inlineStr">
        <is>
          <t>19:55</t>
        </is>
      </c>
      <c r="AH4" s="9" t="inlineStr">
        <is>
          <t>20:25</t>
        </is>
      </c>
      <c r="AI4" s="9" t="inlineStr">
        <is>
          <t>20:55</t>
        </is>
      </c>
      <c r="AJ4" s="9" t="inlineStr">
        <is>
          <t>21:25</t>
        </is>
      </c>
      <c r="AK4" s="9" t="inlineStr">
        <is>
          <t>21:55</t>
        </is>
      </c>
      <c r="AL4" s="9" t="inlineStr">
        <is>
          <t>22:25</t>
        </is>
      </c>
      <c r="AM4" s="9" t="inlineStr">
        <is>
          <t>22:55</t>
        </is>
      </c>
      <c r="AN4" s="9" t="inlineStr">
        <is>
          <t>23:35</t>
        </is>
      </c>
    </row>
    <row r="5" ht="16.5" customHeight="1" s="26">
      <c r="A5" s="10" t="inlineStr">
        <is>
          <t>General Lemos</t>
        </is>
      </c>
      <c r="B5" s="11" t="inlineStr">
        <is>
          <t>00:01</t>
        </is>
      </c>
      <c r="C5" s="11" t="inlineStr">
        <is>
          <t>03:12</t>
        </is>
      </c>
      <c r="D5" s="11" t="inlineStr">
        <is>
          <t>04:15</t>
        </is>
      </c>
      <c r="E5" s="11" t="inlineStr">
        <is>
          <t>05:30</t>
        </is>
      </c>
      <c r="F5" s="11" t="inlineStr">
        <is>
          <t>06:20</t>
        </is>
      </c>
      <c r="G5" s="11" t="inlineStr">
        <is>
          <t>06:55</t>
        </is>
      </c>
      <c r="H5" s="11" t="inlineStr">
        <is>
          <t>07:25</t>
        </is>
      </c>
      <c r="I5" s="11" t="inlineStr">
        <is>
          <t>07:55</t>
        </is>
      </c>
      <c r="J5" s="11" t="inlineStr">
        <is>
          <t>08:25</t>
        </is>
      </c>
      <c r="K5" s="11" t="inlineStr">
        <is>
          <t>08:55</t>
        </is>
      </c>
      <c r="L5" s="11" t="inlineStr">
        <is>
          <t>09:25</t>
        </is>
      </c>
      <c r="M5" s="11" t="inlineStr">
        <is>
          <t>09:55</t>
        </is>
      </c>
      <c r="N5" s="11" t="inlineStr">
        <is>
          <t>10:25</t>
        </is>
      </c>
      <c r="O5" s="11" t="inlineStr">
        <is>
          <t>10:55</t>
        </is>
      </c>
      <c r="P5" s="11" t="inlineStr">
        <is>
          <t>11:25</t>
        </is>
      </c>
      <c r="Q5" s="11" t="inlineStr">
        <is>
          <t>11:55</t>
        </is>
      </c>
      <c r="R5" s="11" t="inlineStr">
        <is>
          <t>12:25</t>
        </is>
      </c>
      <c r="S5" s="11" t="inlineStr">
        <is>
          <t>12:55</t>
        </is>
      </c>
      <c r="T5" s="11" t="inlineStr">
        <is>
          <t>13:25</t>
        </is>
      </c>
      <c r="U5" s="11" t="inlineStr">
        <is>
          <t>13:55</t>
        </is>
      </c>
      <c r="V5" s="11" t="inlineStr">
        <is>
          <t>14:25</t>
        </is>
      </c>
      <c r="W5" s="11" t="inlineStr">
        <is>
          <t>14:55</t>
        </is>
      </c>
      <c r="X5" s="11" t="inlineStr">
        <is>
          <t>15:25</t>
        </is>
      </c>
      <c r="Y5" s="11" t="inlineStr">
        <is>
          <t>15:55</t>
        </is>
      </c>
      <c r="Z5" s="11" t="inlineStr">
        <is>
          <t>16:25</t>
        </is>
      </c>
      <c r="AA5" s="11" t="inlineStr">
        <is>
          <t>16:55</t>
        </is>
      </c>
      <c r="AB5" s="11" t="inlineStr">
        <is>
          <t>17:25</t>
        </is>
      </c>
      <c r="AC5" s="11" t="inlineStr">
        <is>
          <t>17:55</t>
        </is>
      </c>
      <c r="AD5" s="11" t="inlineStr">
        <is>
          <t>18:25</t>
        </is>
      </c>
      <c r="AE5" s="11" t="inlineStr">
        <is>
          <t>18:55</t>
        </is>
      </c>
      <c r="AF5" s="11" t="inlineStr">
        <is>
          <t>19:25</t>
        </is>
      </c>
      <c r="AG5" s="11" t="inlineStr">
        <is>
          <t>19:55</t>
        </is>
      </c>
      <c r="AH5" s="11" t="inlineStr">
        <is>
          <t>20:25</t>
        </is>
      </c>
      <c r="AI5" s="11" t="inlineStr">
        <is>
          <t>20:55</t>
        </is>
      </c>
      <c r="AJ5" s="11" t="inlineStr">
        <is>
          <t>21:25</t>
        </is>
      </c>
      <c r="AK5" s="11" t="inlineStr">
        <is>
          <t>21:55</t>
        </is>
      </c>
      <c r="AL5" s="11" t="inlineStr">
        <is>
          <t>22:25</t>
        </is>
      </c>
      <c r="AM5" s="11" t="inlineStr">
        <is>
          <t>22:55</t>
        </is>
      </c>
      <c r="AN5" s="11" t="inlineStr">
        <is>
          <t>23:35</t>
        </is>
      </c>
    </row>
    <row r="6" ht="16.5" customHeight="1" s="26">
      <c r="A6" s="12" t="inlineStr">
        <is>
          <t>Sargento Cabral</t>
        </is>
      </c>
      <c r="B6" s="13">
        <f>TEXT(MOD(TIMEVALUE(B5)+2/1440,1),"HH:MM")</f>
        <v/>
      </c>
      <c r="C6" s="13">
        <f>TEXT(MOD(TIMEVALUE(C5)+2/1440,1),"HH:MM")</f>
        <v/>
      </c>
      <c r="D6" s="13">
        <f>TEXT(MOD(TIMEVALUE(D5)+2/1440,1),"HH:MM")</f>
        <v/>
      </c>
      <c r="E6" s="13">
        <f>TEXT(MOD(TIMEVALUE(E5)+2/1440,1),"HH:MM")</f>
        <v/>
      </c>
      <c r="F6" s="13">
        <f>TEXT(MOD(TIMEVALUE(F5)+2/1440,1),"HH:MM")</f>
        <v/>
      </c>
      <c r="G6" s="13">
        <f>TEXT(MOD(TIMEVALUE(G5)+2/1440,1),"HH:MM")</f>
        <v/>
      </c>
      <c r="H6" s="13">
        <f>TEXT(MOD(TIMEVALUE(H5)+2/1440,1),"HH:MM")</f>
        <v/>
      </c>
      <c r="I6" s="13">
        <f>TEXT(MOD(TIMEVALUE(I5)+2/1440,1),"HH:MM")</f>
        <v/>
      </c>
      <c r="J6" s="13">
        <f>TEXT(MOD(TIMEVALUE(J5)+2/1440,1),"HH:MM")</f>
        <v/>
      </c>
      <c r="K6" s="13">
        <f>TEXT(MOD(TIMEVALUE(K5)+2/1440,1),"HH:MM")</f>
        <v/>
      </c>
      <c r="L6" s="13">
        <f>TEXT(MOD(TIMEVALUE(L5)+2/1440,1),"HH:MM")</f>
        <v/>
      </c>
      <c r="M6" s="13">
        <f>TEXT(MOD(TIMEVALUE(M5)+2/1440,1),"HH:MM")</f>
        <v/>
      </c>
      <c r="N6" s="13">
        <f>TEXT(MOD(TIMEVALUE(N5)+2/1440,1),"HH:MM")</f>
        <v/>
      </c>
      <c r="O6" s="13">
        <f>TEXT(MOD(TIMEVALUE(O5)+2/1440,1),"HH:MM")</f>
        <v/>
      </c>
      <c r="P6" s="13">
        <f>TEXT(MOD(TIMEVALUE(P5)+2/1440,1),"HH:MM")</f>
        <v/>
      </c>
      <c r="Q6" s="13">
        <f>TEXT(MOD(TIMEVALUE(Q5)+2/1440,1),"HH:MM")</f>
        <v/>
      </c>
      <c r="R6" s="13">
        <f>TEXT(MOD(TIMEVALUE(R5)+2/1440,1),"HH:MM")</f>
        <v/>
      </c>
      <c r="S6" s="13">
        <f>TEXT(MOD(TIMEVALUE(S5)+2/1440,1),"HH:MM")</f>
        <v/>
      </c>
      <c r="T6" s="13">
        <f>TEXT(MOD(TIMEVALUE(T5)+2/1440,1),"HH:MM")</f>
        <v/>
      </c>
      <c r="U6" s="13">
        <f>TEXT(MOD(TIMEVALUE(U5)+2/1440,1),"HH:MM")</f>
        <v/>
      </c>
      <c r="V6" s="13">
        <f>TEXT(MOD(TIMEVALUE(V5)+2/1440,1),"HH:MM")</f>
        <v/>
      </c>
      <c r="W6" s="13">
        <f>TEXT(MOD(TIMEVALUE(W5)+2/1440,1),"HH:MM")</f>
        <v/>
      </c>
      <c r="X6" s="13">
        <f>TEXT(MOD(TIMEVALUE(X5)+2/1440,1),"HH:MM")</f>
        <v/>
      </c>
      <c r="Y6" s="13">
        <f>TEXT(MOD(TIMEVALUE(Y5)+2/1440,1),"HH:MM")</f>
        <v/>
      </c>
      <c r="Z6" s="13">
        <f>TEXT(MOD(TIMEVALUE(Z5)+2/1440,1),"HH:MM")</f>
        <v/>
      </c>
      <c r="AA6" s="13">
        <f>TEXT(MOD(TIMEVALUE(AA5)+2/1440,1),"HH:MM")</f>
        <v/>
      </c>
      <c r="AB6" s="13">
        <f>TEXT(MOD(TIMEVALUE(AB5)+2/1440,1),"HH:MM")</f>
        <v/>
      </c>
      <c r="AC6" s="13">
        <f>TEXT(MOD(TIMEVALUE(AC5)+2/1440,1),"HH:MM")</f>
        <v/>
      </c>
      <c r="AD6" s="13">
        <f>TEXT(MOD(TIMEVALUE(AD5)+2/1440,1),"HH:MM")</f>
        <v/>
      </c>
      <c r="AE6" s="13">
        <f>TEXT(MOD(TIMEVALUE(AE5)+2/1440,1),"HH:MM")</f>
        <v/>
      </c>
      <c r="AF6" s="13">
        <f>TEXT(MOD(TIMEVALUE(AF5)+2/1440,1),"HH:MM")</f>
        <v/>
      </c>
      <c r="AG6" s="13">
        <f>TEXT(MOD(TIMEVALUE(AG5)+2/1440,1),"HH:MM")</f>
        <v/>
      </c>
      <c r="AH6" s="13">
        <f>TEXT(MOD(TIMEVALUE(AH5)+2/1440,1),"HH:MM")</f>
        <v/>
      </c>
      <c r="AI6" s="13">
        <f>TEXT(MOD(TIMEVALUE(AI5)+2/1440,1),"HH:MM")</f>
        <v/>
      </c>
      <c r="AJ6" s="13">
        <f>TEXT(MOD(TIMEVALUE(AJ5)+2/1440,1),"HH:MM")</f>
        <v/>
      </c>
      <c r="AK6" s="13">
        <f>TEXT(MOD(TIMEVALUE(AK5)+2/1440,1),"HH:MM")</f>
        <v/>
      </c>
      <c r="AL6" s="13">
        <f>TEXT(MOD(TIMEVALUE(AL5)+2/1440,1),"HH:MM")</f>
        <v/>
      </c>
      <c r="AM6" s="13">
        <f>TEXT(MOD(TIMEVALUE(AM5)+2/1440,1),"HH:MM")</f>
        <v/>
      </c>
      <c r="AN6" s="13">
        <f>TEXT(MOD(TIMEVALUE(AN5)+2/1440,1),"HH:MM")</f>
        <v/>
      </c>
    </row>
    <row r="7" ht="16.5" customHeight="1" s="26">
      <c r="A7" s="14" t="inlineStr">
        <is>
          <t>Campo de Mayo</t>
        </is>
      </c>
      <c r="B7" s="15">
        <f>TEXT(MOD(TIMEVALUE(B5)+4/1440,1),"HH:MM")</f>
        <v/>
      </c>
      <c r="C7" s="15">
        <f>TEXT(MOD(TIMEVALUE(C5)+4/1440,1),"HH:MM")</f>
        <v/>
      </c>
      <c r="D7" s="15">
        <f>TEXT(MOD(TIMEVALUE(D5)+4/1440,1),"HH:MM")</f>
        <v/>
      </c>
      <c r="E7" s="15">
        <f>TEXT(MOD(TIMEVALUE(E5)+4/1440,1),"HH:MM")</f>
        <v/>
      </c>
      <c r="F7" s="15">
        <f>TEXT(MOD(TIMEVALUE(F5)+4/1440,1),"HH:MM")</f>
        <v/>
      </c>
      <c r="G7" s="15">
        <f>TEXT(MOD(TIMEVALUE(G5)+4/1440,1),"HH:MM")</f>
        <v/>
      </c>
      <c r="H7" s="15">
        <f>TEXT(MOD(TIMEVALUE(H5)+4/1440,1),"HH:MM")</f>
        <v/>
      </c>
      <c r="I7" s="15">
        <f>TEXT(MOD(TIMEVALUE(I5)+4/1440,1),"HH:MM")</f>
        <v/>
      </c>
      <c r="J7" s="15">
        <f>TEXT(MOD(TIMEVALUE(J5)+4/1440,1),"HH:MM")</f>
        <v/>
      </c>
      <c r="K7" s="15">
        <f>TEXT(MOD(TIMEVALUE(K5)+4/1440,1),"HH:MM")</f>
        <v/>
      </c>
      <c r="L7" s="15">
        <f>TEXT(MOD(TIMEVALUE(L5)+4/1440,1),"HH:MM")</f>
        <v/>
      </c>
      <c r="M7" s="15">
        <f>TEXT(MOD(TIMEVALUE(M5)+4/1440,1),"HH:MM")</f>
        <v/>
      </c>
      <c r="N7" s="15">
        <f>TEXT(MOD(TIMEVALUE(N5)+4/1440,1),"HH:MM")</f>
        <v/>
      </c>
      <c r="O7" s="15">
        <f>TEXT(MOD(TIMEVALUE(O5)+4/1440,1),"HH:MM")</f>
        <v/>
      </c>
      <c r="P7" s="15">
        <f>TEXT(MOD(TIMEVALUE(P5)+4/1440,1),"HH:MM")</f>
        <v/>
      </c>
      <c r="Q7" s="15">
        <f>TEXT(MOD(TIMEVALUE(Q5)+4/1440,1),"HH:MM")</f>
        <v/>
      </c>
      <c r="R7" s="15">
        <f>TEXT(MOD(TIMEVALUE(R5)+4/1440,1),"HH:MM")</f>
        <v/>
      </c>
      <c r="S7" s="15">
        <f>TEXT(MOD(TIMEVALUE(S5)+4/1440,1),"HH:MM")</f>
        <v/>
      </c>
      <c r="T7" s="15">
        <f>TEXT(MOD(TIMEVALUE(T5)+4/1440,1),"HH:MM")</f>
        <v/>
      </c>
      <c r="U7" s="15">
        <f>TEXT(MOD(TIMEVALUE(U5)+4/1440,1),"HH:MM")</f>
        <v/>
      </c>
      <c r="V7" s="15">
        <f>TEXT(MOD(TIMEVALUE(V5)+4/1440,1),"HH:MM")</f>
        <v/>
      </c>
      <c r="W7" s="15">
        <f>TEXT(MOD(TIMEVALUE(W5)+4/1440,1),"HH:MM")</f>
        <v/>
      </c>
      <c r="X7" s="15">
        <f>TEXT(MOD(TIMEVALUE(X5)+4/1440,1),"HH:MM")</f>
        <v/>
      </c>
      <c r="Y7" s="15">
        <f>TEXT(MOD(TIMEVALUE(Y5)+4/1440,1),"HH:MM")</f>
        <v/>
      </c>
      <c r="Z7" s="15">
        <f>TEXT(MOD(TIMEVALUE(Z5)+4/1440,1),"HH:MM")</f>
        <v/>
      </c>
      <c r="AA7" s="15">
        <f>TEXT(MOD(TIMEVALUE(AA5)+4/1440,1),"HH:MM")</f>
        <v/>
      </c>
      <c r="AB7" s="15">
        <f>TEXT(MOD(TIMEVALUE(AB5)+4/1440,1),"HH:MM")</f>
        <v/>
      </c>
      <c r="AC7" s="15">
        <f>TEXT(MOD(TIMEVALUE(AC5)+4/1440,1),"HH:MM")</f>
        <v/>
      </c>
      <c r="AD7" s="15">
        <f>TEXT(MOD(TIMEVALUE(AD5)+4/1440,1),"HH:MM")</f>
        <v/>
      </c>
      <c r="AE7" s="15">
        <f>TEXT(MOD(TIMEVALUE(AE5)+4/1440,1),"HH:MM")</f>
        <v/>
      </c>
      <c r="AF7" s="15">
        <f>TEXT(MOD(TIMEVALUE(AF5)+4/1440,1),"HH:MM")</f>
        <v/>
      </c>
      <c r="AG7" s="15">
        <f>TEXT(MOD(TIMEVALUE(AG5)+4/1440,1),"HH:MM")</f>
        <v/>
      </c>
      <c r="AH7" s="15">
        <f>TEXT(MOD(TIMEVALUE(AH5)+4/1440,1),"HH:MM")</f>
        <v/>
      </c>
      <c r="AI7" s="15">
        <f>TEXT(MOD(TIMEVALUE(AI5)+4/1440,1),"HH:MM")</f>
        <v/>
      </c>
      <c r="AJ7" s="15">
        <f>TEXT(MOD(TIMEVALUE(AJ5)+4/1440,1),"HH:MM")</f>
        <v/>
      </c>
      <c r="AK7" s="15">
        <f>TEXT(MOD(TIMEVALUE(AK5)+4/1440,1),"HH:MM")</f>
        <v/>
      </c>
      <c r="AL7" s="15">
        <f>TEXT(MOD(TIMEVALUE(AL5)+4/1440,1),"HH:MM")</f>
        <v/>
      </c>
      <c r="AM7" s="15">
        <f>TEXT(MOD(TIMEVALUE(AM5)+4/1440,1),"HH:MM")</f>
        <v/>
      </c>
      <c r="AN7" s="15">
        <f>TEXT(MOD(TIMEVALUE(AN5)+4/1440,1),"HH:MM")</f>
        <v/>
      </c>
    </row>
    <row r="8" ht="16.5" customHeight="1" s="26">
      <c r="A8" s="12" t="inlineStr">
        <is>
          <t>Teniente Agneta</t>
        </is>
      </c>
      <c r="B8" s="13">
        <f>TEXT(MOD(TIMEVALUE(B5)+5/1440,1),"HH:MM")</f>
        <v/>
      </c>
      <c r="C8" s="13">
        <f>TEXT(MOD(TIMEVALUE(C5)+5/1440,1),"HH:MM")</f>
        <v/>
      </c>
      <c r="D8" s="13">
        <f>TEXT(MOD(TIMEVALUE(D5)+5/1440,1),"HH:MM")</f>
        <v/>
      </c>
      <c r="E8" s="13">
        <f>TEXT(MOD(TIMEVALUE(E5)+5/1440,1),"HH:MM")</f>
        <v/>
      </c>
      <c r="F8" s="13">
        <f>TEXT(MOD(TIMEVALUE(F5)+5/1440,1),"HH:MM")</f>
        <v/>
      </c>
      <c r="G8" s="13">
        <f>TEXT(MOD(TIMEVALUE(G5)+5/1440,1),"HH:MM")</f>
        <v/>
      </c>
      <c r="H8" s="13">
        <f>TEXT(MOD(TIMEVALUE(H5)+5/1440,1),"HH:MM")</f>
        <v/>
      </c>
      <c r="I8" s="13">
        <f>TEXT(MOD(TIMEVALUE(I5)+5/1440,1),"HH:MM")</f>
        <v/>
      </c>
      <c r="J8" s="13">
        <f>TEXT(MOD(TIMEVALUE(J5)+5/1440,1),"HH:MM")</f>
        <v/>
      </c>
      <c r="K8" s="13">
        <f>TEXT(MOD(TIMEVALUE(K5)+5/1440,1),"HH:MM")</f>
        <v/>
      </c>
      <c r="L8" s="13">
        <f>TEXT(MOD(TIMEVALUE(L5)+5/1440,1),"HH:MM")</f>
        <v/>
      </c>
      <c r="M8" s="13">
        <f>TEXT(MOD(TIMEVALUE(M5)+5/1440,1),"HH:MM")</f>
        <v/>
      </c>
      <c r="N8" s="13">
        <f>TEXT(MOD(TIMEVALUE(N5)+5/1440,1),"HH:MM")</f>
        <v/>
      </c>
      <c r="O8" s="13">
        <f>TEXT(MOD(TIMEVALUE(O5)+5/1440,1),"HH:MM")</f>
        <v/>
      </c>
      <c r="P8" s="13">
        <f>TEXT(MOD(TIMEVALUE(P5)+5/1440,1),"HH:MM")</f>
        <v/>
      </c>
      <c r="Q8" s="13">
        <f>TEXT(MOD(TIMEVALUE(Q5)+5/1440,1),"HH:MM")</f>
        <v/>
      </c>
      <c r="R8" s="13">
        <f>TEXT(MOD(TIMEVALUE(R5)+5/1440,1),"HH:MM")</f>
        <v/>
      </c>
      <c r="S8" s="13">
        <f>TEXT(MOD(TIMEVALUE(S5)+5/1440,1),"HH:MM")</f>
        <v/>
      </c>
      <c r="T8" s="13">
        <f>TEXT(MOD(TIMEVALUE(T5)+5/1440,1),"HH:MM")</f>
        <v/>
      </c>
      <c r="U8" s="13">
        <f>TEXT(MOD(TIMEVALUE(U5)+5/1440,1),"HH:MM")</f>
        <v/>
      </c>
      <c r="V8" s="13">
        <f>TEXT(MOD(TIMEVALUE(V5)+5/1440,1),"HH:MM")</f>
        <v/>
      </c>
      <c r="W8" s="13">
        <f>TEXT(MOD(TIMEVALUE(W5)+5/1440,1),"HH:MM")</f>
        <v/>
      </c>
      <c r="X8" s="13">
        <f>TEXT(MOD(TIMEVALUE(X5)+5/1440,1),"HH:MM")</f>
        <v/>
      </c>
      <c r="Y8" s="13">
        <f>TEXT(MOD(TIMEVALUE(Y5)+5/1440,1),"HH:MM")</f>
        <v/>
      </c>
      <c r="Z8" s="13">
        <f>TEXT(MOD(TIMEVALUE(Z5)+5/1440,1),"HH:MM")</f>
        <v/>
      </c>
      <c r="AA8" s="13">
        <f>TEXT(MOD(TIMEVALUE(AA5)+5/1440,1),"HH:MM")</f>
        <v/>
      </c>
      <c r="AB8" s="13">
        <f>TEXT(MOD(TIMEVALUE(AB5)+5/1440,1),"HH:MM")</f>
        <v/>
      </c>
      <c r="AC8" s="13">
        <f>TEXT(MOD(TIMEVALUE(AC5)+5/1440,1),"HH:MM")</f>
        <v/>
      </c>
      <c r="AD8" s="13">
        <f>TEXT(MOD(TIMEVALUE(AD5)+5/1440,1),"HH:MM")</f>
        <v/>
      </c>
      <c r="AE8" s="13">
        <f>TEXT(MOD(TIMEVALUE(AE5)+5/1440,1),"HH:MM")</f>
        <v/>
      </c>
      <c r="AF8" s="13">
        <f>TEXT(MOD(TIMEVALUE(AF5)+5/1440,1),"HH:MM")</f>
        <v/>
      </c>
      <c r="AG8" s="13">
        <f>TEXT(MOD(TIMEVALUE(AG5)+5/1440,1),"HH:MM")</f>
        <v/>
      </c>
      <c r="AH8" s="13">
        <f>TEXT(MOD(TIMEVALUE(AH5)+5/1440,1),"HH:MM")</f>
        <v/>
      </c>
      <c r="AI8" s="13">
        <f>TEXT(MOD(TIMEVALUE(AI5)+5/1440,1),"HH:MM")</f>
        <v/>
      </c>
      <c r="AJ8" s="13">
        <f>TEXT(MOD(TIMEVALUE(AJ5)+5/1440,1),"HH:MM")</f>
        <v/>
      </c>
      <c r="AK8" s="13">
        <f>TEXT(MOD(TIMEVALUE(AK5)+5/1440,1),"HH:MM")</f>
        <v/>
      </c>
      <c r="AL8" s="13">
        <f>TEXT(MOD(TIMEVALUE(AL5)+5/1440,1),"HH:MM")</f>
        <v/>
      </c>
      <c r="AM8" s="13">
        <f>TEXT(MOD(TIMEVALUE(AM5)+5/1440,1),"HH:MM")</f>
        <v/>
      </c>
      <c r="AN8" s="13">
        <f>TEXT(MOD(TIMEVALUE(AN5)+5/1440,1),"HH:MM")</f>
        <v/>
      </c>
    </row>
    <row r="9" ht="16.5" customHeight="1" s="26">
      <c r="A9" s="14" t="inlineStr">
        <is>
          <t>Capitán Lozano</t>
        </is>
      </c>
      <c r="B9" s="15">
        <f>TEXT(MOD(TIMEVALUE(B5)+7/1440,1),"HH:MM")</f>
        <v/>
      </c>
      <c r="C9" s="15">
        <f>TEXT(MOD(TIMEVALUE(C5)+7/1440,1),"HH:MM")</f>
        <v/>
      </c>
      <c r="D9" s="15">
        <f>TEXT(MOD(TIMEVALUE(D5)+7/1440,1),"HH:MM")</f>
        <v/>
      </c>
      <c r="E9" s="15">
        <f>TEXT(MOD(TIMEVALUE(E5)+7/1440,1),"HH:MM")</f>
        <v/>
      </c>
      <c r="F9" s="15">
        <f>TEXT(MOD(TIMEVALUE(F5)+7/1440,1),"HH:MM")</f>
        <v/>
      </c>
      <c r="G9" s="15">
        <f>TEXT(MOD(TIMEVALUE(G5)+7/1440,1),"HH:MM")</f>
        <v/>
      </c>
      <c r="H9" s="15">
        <f>TEXT(MOD(TIMEVALUE(H5)+7/1440,1),"HH:MM")</f>
        <v/>
      </c>
      <c r="I9" s="15">
        <f>TEXT(MOD(TIMEVALUE(I5)+7/1440,1),"HH:MM")</f>
        <v/>
      </c>
      <c r="J9" s="15">
        <f>TEXT(MOD(TIMEVALUE(J5)+7/1440,1),"HH:MM")</f>
        <v/>
      </c>
      <c r="K9" s="15">
        <f>TEXT(MOD(TIMEVALUE(K5)+7/1440,1),"HH:MM")</f>
        <v/>
      </c>
      <c r="L9" s="15">
        <f>TEXT(MOD(TIMEVALUE(L5)+7/1440,1),"HH:MM")</f>
        <v/>
      </c>
      <c r="M9" s="15">
        <f>TEXT(MOD(TIMEVALUE(M5)+7/1440,1),"HH:MM")</f>
        <v/>
      </c>
      <c r="N9" s="15">
        <f>TEXT(MOD(TIMEVALUE(N5)+7/1440,1),"HH:MM")</f>
        <v/>
      </c>
      <c r="O9" s="15">
        <f>TEXT(MOD(TIMEVALUE(O5)+7/1440,1),"HH:MM")</f>
        <v/>
      </c>
      <c r="P9" s="15">
        <f>TEXT(MOD(TIMEVALUE(P5)+7/1440,1),"HH:MM")</f>
        <v/>
      </c>
      <c r="Q9" s="15">
        <f>TEXT(MOD(TIMEVALUE(Q5)+7/1440,1),"HH:MM")</f>
        <v/>
      </c>
      <c r="R9" s="15">
        <f>TEXT(MOD(TIMEVALUE(R5)+7/1440,1),"HH:MM")</f>
        <v/>
      </c>
      <c r="S9" s="15">
        <f>TEXT(MOD(TIMEVALUE(S5)+7/1440,1),"HH:MM")</f>
        <v/>
      </c>
      <c r="T9" s="15">
        <f>TEXT(MOD(TIMEVALUE(T5)+7/1440,1),"HH:MM")</f>
        <v/>
      </c>
      <c r="U9" s="15">
        <f>TEXT(MOD(TIMEVALUE(U5)+7/1440,1),"HH:MM")</f>
        <v/>
      </c>
      <c r="V9" s="15">
        <f>TEXT(MOD(TIMEVALUE(V5)+7/1440,1),"HH:MM")</f>
        <v/>
      </c>
      <c r="W9" s="15">
        <f>TEXT(MOD(TIMEVALUE(W5)+7/1440,1),"HH:MM")</f>
        <v/>
      </c>
      <c r="X9" s="15">
        <f>TEXT(MOD(TIMEVALUE(X5)+7/1440,1),"HH:MM")</f>
        <v/>
      </c>
      <c r="Y9" s="15">
        <f>TEXT(MOD(TIMEVALUE(Y5)+7/1440,1),"HH:MM")</f>
        <v/>
      </c>
      <c r="Z9" s="15">
        <f>TEXT(MOD(TIMEVALUE(Z5)+7/1440,1),"HH:MM")</f>
        <v/>
      </c>
      <c r="AA9" s="15">
        <f>TEXT(MOD(TIMEVALUE(AA5)+7/1440,1),"HH:MM")</f>
        <v/>
      </c>
      <c r="AB9" s="15">
        <f>TEXT(MOD(TIMEVALUE(AB5)+7/1440,1),"HH:MM")</f>
        <v/>
      </c>
      <c r="AC9" s="15">
        <f>TEXT(MOD(TIMEVALUE(AC5)+7/1440,1),"HH:MM")</f>
        <v/>
      </c>
      <c r="AD9" s="15">
        <f>TEXT(MOD(TIMEVALUE(AD5)+7/1440,1),"HH:MM")</f>
        <v/>
      </c>
      <c r="AE9" s="15">
        <f>TEXT(MOD(TIMEVALUE(AE5)+7/1440,1),"HH:MM")</f>
        <v/>
      </c>
      <c r="AF9" s="15">
        <f>TEXT(MOD(TIMEVALUE(AF5)+7/1440,1),"HH:MM")</f>
        <v/>
      </c>
      <c r="AG9" s="15">
        <f>TEXT(MOD(TIMEVALUE(AG5)+7/1440,1),"HH:MM")</f>
        <v/>
      </c>
      <c r="AH9" s="15">
        <f>TEXT(MOD(TIMEVALUE(AH5)+7/1440,1),"HH:MM")</f>
        <v/>
      </c>
      <c r="AI9" s="15">
        <f>TEXT(MOD(TIMEVALUE(AI5)+7/1440,1),"HH:MM")</f>
        <v/>
      </c>
      <c r="AJ9" s="15">
        <f>TEXT(MOD(TIMEVALUE(AJ5)+7/1440,1),"HH:MM")</f>
        <v/>
      </c>
      <c r="AK9" s="15">
        <f>TEXT(MOD(TIMEVALUE(AK5)+7/1440,1),"HH:MM")</f>
        <v/>
      </c>
      <c r="AL9" s="15">
        <f>TEXT(MOD(TIMEVALUE(AL5)+7/1440,1),"HH:MM")</f>
        <v/>
      </c>
      <c r="AM9" s="15">
        <f>TEXT(MOD(TIMEVALUE(AM5)+7/1440,1),"HH:MM")</f>
        <v/>
      </c>
      <c r="AN9" s="15">
        <f>TEXT(MOD(TIMEVALUE(AN5)+7/1440,1),"HH:MM")</f>
        <v/>
      </c>
    </row>
    <row r="10" ht="16.5" customHeight="1" s="26">
      <c r="A10" s="12" t="inlineStr">
        <is>
          <t>Sgto. Barruffaldi</t>
        </is>
      </c>
      <c r="B10" s="13">
        <f>TEXT(MOD(TIMEVALUE(B5)+9/1440,1),"HH:MM")</f>
        <v/>
      </c>
      <c r="C10" s="13">
        <f>TEXT(MOD(TIMEVALUE(C5)+9/1440,1),"HH:MM")</f>
        <v/>
      </c>
      <c r="D10" s="13">
        <f>TEXT(MOD(TIMEVALUE(D5)+9/1440,1),"HH:MM")</f>
        <v/>
      </c>
      <c r="E10" s="13">
        <f>TEXT(MOD(TIMEVALUE(E5)+9/1440,1),"HH:MM")</f>
        <v/>
      </c>
      <c r="F10" s="13">
        <f>TEXT(MOD(TIMEVALUE(F5)+9/1440,1),"HH:MM")</f>
        <v/>
      </c>
      <c r="G10" s="13">
        <f>TEXT(MOD(TIMEVALUE(G5)+9/1440,1),"HH:MM")</f>
        <v/>
      </c>
      <c r="H10" s="13">
        <f>TEXT(MOD(TIMEVALUE(H5)+9/1440,1),"HH:MM")</f>
        <v/>
      </c>
      <c r="I10" s="13">
        <f>TEXT(MOD(TIMEVALUE(I5)+9/1440,1),"HH:MM")</f>
        <v/>
      </c>
      <c r="J10" s="13">
        <f>TEXT(MOD(TIMEVALUE(J5)+9/1440,1),"HH:MM")</f>
        <v/>
      </c>
      <c r="K10" s="13">
        <f>TEXT(MOD(TIMEVALUE(K5)+9/1440,1),"HH:MM")</f>
        <v/>
      </c>
      <c r="L10" s="13">
        <f>TEXT(MOD(TIMEVALUE(L5)+9/1440,1),"HH:MM")</f>
        <v/>
      </c>
      <c r="M10" s="13">
        <f>TEXT(MOD(TIMEVALUE(M5)+9/1440,1),"HH:MM")</f>
        <v/>
      </c>
      <c r="N10" s="13">
        <f>TEXT(MOD(TIMEVALUE(N5)+9/1440,1),"HH:MM")</f>
        <v/>
      </c>
      <c r="O10" s="13">
        <f>TEXT(MOD(TIMEVALUE(O5)+9/1440,1),"HH:MM")</f>
        <v/>
      </c>
      <c r="P10" s="13">
        <f>TEXT(MOD(TIMEVALUE(P5)+9/1440,1),"HH:MM")</f>
        <v/>
      </c>
      <c r="Q10" s="13">
        <f>TEXT(MOD(TIMEVALUE(Q5)+9/1440,1),"HH:MM")</f>
        <v/>
      </c>
      <c r="R10" s="13">
        <f>TEXT(MOD(TIMEVALUE(R5)+9/1440,1),"HH:MM")</f>
        <v/>
      </c>
      <c r="S10" s="13">
        <f>TEXT(MOD(TIMEVALUE(S5)+9/1440,1),"HH:MM")</f>
        <v/>
      </c>
      <c r="T10" s="13">
        <f>TEXT(MOD(TIMEVALUE(T5)+9/1440,1),"HH:MM")</f>
        <v/>
      </c>
      <c r="U10" s="13">
        <f>TEXT(MOD(TIMEVALUE(U5)+9/1440,1),"HH:MM")</f>
        <v/>
      </c>
      <c r="V10" s="13">
        <f>TEXT(MOD(TIMEVALUE(V5)+9/1440,1),"HH:MM")</f>
        <v/>
      </c>
      <c r="W10" s="13">
        <f>TEXT(MOD(TIMEVALUE(W5)+9/1440,1),"HH:MM")</f>
        <v/>
      </c>
      <c r="X10" s="13">
        <f>TEXT(MOD(TIMEVALUE(X5)+9/1440,1),"HH:MM")</f>
        <v/>
      </c>
      <c r="Y10" s="13">
        <f>TEXT(MOD(TIMEVALUE(Y5)+9/1440,1),"HH:MM")</f>
        <v/>
      </c>
      <c r="Z10" s="13">
        <f>TEXT(MOD(TIMEVALUE(Z5)+9/1440,1),"HH:MM")</f>
        <v/>
      </c>
      <c r="AA10" s="13">
        <f>TEXT(MOD(TIMEVALUE(AA5)+9/1440,1),"HH:MM")</f>
        <v/>
      </c>
      <c r="AB10" s="13">
        <f>TEXT(MOD(TIMEVALUE(AB5)+9/1440,1),"HH:MM")</f>
        <v/>
      </c>
      <c r="AC10" s="13">
        <f>TEXT(MOD(TIMEVALUE(AC5)+9/1440,1),"HH:MM")</f>
        <v/>
      </c>
      <c r="AD10" s="13">
        <f>TEXT(MOD(TIMEVALUE(AD5)+9/1440,1),"HH:MM")</f>
        <v/>
      </c>
      <c r="AE10" s="13">
        <f>TEXT(MOD(TIMEVALUE(AE5)+9/1440,1),"HH:MM")</f>
        <v/>
      </c>
      <c r="AF10" s="13">
        <f>TEXT(MOD(TIMEVALUE(AF5)+9/1440,1),"HH:MM")</f>
        <v/>
      </c>
      <c r="AG10" s="13">
        <f>TEXT(MOD(TIMEVALUE(AG5)+9/1440,1),"HH:MM")</f>
        <v/>
      </c>
      <c r="AH10" s="13">
        <f>TEXT(MOD(TIMEVALUE(AH5)+9/1440,1),"HH:MM")</f>
        <v/>
      </c>
      <c r="AI10" s="13">
        <f>TEXT(MOD(TIMEVALUE(AI5)+9/1440,1),"HH:MM")</f>
        <v/>
      </c>
      <c r="AJ10" s="13">
        <f>TEXT(MOD(TIMEVALUE(AJ5)+9/1440,1),"HH:MM")</f>
        <v/>
      </c>
      <c r="AK10" s="13">
        <f>TEXT(MOD(TIMEVALUE(AK5)+9/1440,1),"HH:MM")</f>
        <v/>
      </c>
      <c r="AL10" s="13">
        <f>TEXT(MOD(TIMEVALUE(AL5)+9/1440,1),"HH:MM")</f>
        <v/>
      </c>
      <c r="AM10" s="13">
        <f>TEXT(MOD(TIMEVALUE(AM5)+9/1440,1),"HH:MM")</f>
        <v/>
      </c>
      <c r="AN10" s="13">
        <f>TEXT(MOD(TIMEVALUE(AN5)+9/1440,1),"HH:MM")</f>
        <v/>
      </c>
    </row>
    <row r="11" ht="16.5" customHeight="1" s="26">
      <c r="A11" s="14" t="inlineStr">
        <is>
          <t>Juan E. de la Salle</t>
        </is>
      </c>
      <c r="B11" s="15">
        <f>TEXT(MOD(TIMEVALUE(B5)+12/1440,1),"HH:MM")</f>
        <v/>
      </c>
      <c r="C11" s="15">
        <f>TEXT(MOD(TIMEVALUE(C5)+12/1440,1),"HH:MM")</f>
        <v/>
      </c>
      <c r="D11" s="15">
        <f>TEXT(MOD(TIMEVALUE(D5)+12/1440,1),"HH:MM")</f>
        <v/>
      </c>
      <c r="E11" s="15">
        <f>TEXT(MOD(TIMEVALUE(E5)+12/1440,1),"HH:MM")</f>
        <v/>
      </c>
      <c r="F11" s="15">
        <f>TEXT(MOD(TIMEVALUE(F5)+12/1440,1),"HH:MM")</f>
        <v/>
      </c>
      <c r="G11" s="15">
        <f>TEXT(MOD(TIMEVALUE(G5)+12/1440,1),"HH:MM")</f>
        <v/>
      </c>
      <c r="H11" s="15">
        <f>TEXT(MOD(TIMEVALUE(H5)+12/1440,1),"HH:MM")</f>
        <v/>
      </c>
      <c r="I11" s="15">
        <f>TEXT(MOD(TIMEVALUE(I5)+12/1440,1),"HH:MM")</f>
        <v/>
      </c>
      <c r="J11" s="15">
        <f>TEXT(MOD(TIMEVALUE(J5)+12/1440,1),"HH:MM")</f>
        <v/>
      </c>
      <c r="K11" s="15">
        <f>TEXT(MOD(TIMEVALUE(K5)+12/1440,1),"HH:MM")</f>
        <v/>
      </c>
      <c r="L11" s="15">
        <f>TEXT(MOD(TIMEVALUE(L5)+12/1440,1),"HH:MM")</f>
        <v/>
      </c>
      <c r="M11" s="15">
        <f>TEXT(MOD(TIMEVALUE(M5)+12/1440,1),"HH:MM")</f>
        <v/>
      </c>
      <c r="N11" s="15">
        <f>TEXT(MOD(TIMEVALUE(N5)+12/1440,1),"HH:MM")</f>
        <v/>
      </c>
      <c r="O11" s="15">
        <f>TEXT(MOD(TIMEVALUE(O5)+12/1440,1),"HH:MM")</f>
        <v/>
      </c>
      <c r="P11" s="15">
        <f>TEXT(MOD(TIMEVALUE(P5)+12/1440,1),"HH:MM")</f>
        <v/>
      </c>
      <c r="Q11" s="15">
        <f>TEXT(MOD(TIMEVALUE(Q5)+12/1440,1),"HH:MM")</f>
        <v/>
      </c>
      <c r="R11" s="15">
        <f>TEXT(MOD(TIMEVALUE(R5)+12/1440,1),"HH:MM")</f>
        <v/>
      </c>
      <c r="S11" s="15">
        <f>TEXT(MOD(TIMEVALUE(S5)+12/1440,1),"HH:MM")</f>
        <v/>
      </c>
      <c r="T11" s="15">
        <f>TEXT(MOD(TIMEVALUE(T5)+12/1440,1),"HH:MM")</f>
        <v/>
      </c>
      <c r="U11" s="15">
        <f>TEXT(MOD(TIMEVALUE(U5)+12/1440,1),"HH:MM")</f>
        <v/>
      </c>
      <c r="V11" s="15">
        <f>TEXT(MOD(TIMEVALUE(V5)+12/1440,1),"HH:MM")</f>
        <v/>
      </c>
      <c r="W11" s="15">
        <f>TEXT(MOD(TIMEVALUE(W5)+12/1440,1),"HH:MM")</f>
        <v/>
      </c>
      <c r="X11" s="15">
        <f>TEXT(MOD(TIMEVALUE(X5)+12/1440,1),"HH:MM")</f>
        <v/>
      </c>
      <c r="Y11" s="15">
        <f>TEXT(MOD(TIMEVALUE(Y5)+12/1440,1),"HH:MM")</f>
        <v/>
      </c>
      <c r="Z11" s="15">
        <f>TEXT(MOD(TIMEVALUE(Z5)+12/1440,1),"HH:MM")</f>
        <v/>
      </c>
      <c r="AA11" s="15">
        <f>TEXT(MOD(TIMEVALUE(AA5)+12/1440,1),"HH:MM")</f>
        <v/>
      </c>
      <c r="AB11" s="15">
        <f>TEXT(MOD(TIMEVALUE(AB5)+12/1440,1),"HH:MM")</f>
        <v/>
      </c>
      <c r="AC11" s="15">
        <f>TEXT(MOD(TIMEVALUE(AC5)+12/1440,1),"HH:MM")</f>
        <v/>
      </c>
      <c r="AD11" s="15">
        <f>TEXT(MOD(TIMEVALUE(AD5)+12/1440,1),"HH:MM")</f>
        <v/>
      </c>
      <c r="AE11" s="15">
        <f>TEXT(MOD(TIMEVALUE(AE5)+12/1440,1),"HH:MM")</f>
        <v/>
      </c>
      <c r="AF11" s="15">
        <f>TEXT(MOD(TIMEVALUE(AF5)+12/1440,1),"HH:MM")</f>
        <v/>
      </c>
      <c r="AG11" s="15">
        <f>TEXT(MOD(TIMEVALUE(AG5)+12/1440,1),"HH:MM")</f>
        <v/>
      </c>
      <c r="AH11" s="15">
        <f>TEXT(MOD(TIMEVALUE(AH5)+12/1440,1),"HH:MM")</f>
        <v/>
      </c>
      <c r="AI11" s="15">
        <f>TEXT(MOD(TIMEVALUE(AI5)+12/1440,1),"HH:MM")</f>
        <v/>
      </c>
      <c r="AJ11" s="15">
        <f>TEXT(MOD(TIMEVALUE(AJ5)+12/1440,1),"HH:MM")</f>
        <v/>
      </c>
      <c r="AK11" s="15">
        <f>TEXT(MOD(TIMEVALUE(AK5)+12/1440,1),"HH:MM")</f>
        <v/>
      </c>
      <c r="AL11" s="15">
        <f>TEXT(MOD(TIMEVALUE(AL5)+12/1440,1),"HH:MM")</f>
        <v/>
      </c>
      <c r="AM11" s="15">
        <f>TEXT(MOD(TIMEVALUE(AM5)+12/1440,1),"HH:MM")</f>
        <v/>
      </c>
      <c r="AN11" s="15">
        <f>TEXT(MOD(TIMEVALUE(AN5)+12/1440,1),"HH:MM")</f>
        <v/>
      </c>
    </row>
    <row r="12" ht="16.5" customHeight="1" s="26">
      <c r="A12" s="12" t="inlineStr">
        <is>
          <t>Ejército de los Andes</t>
        </is>
      </c>
      <c r="B12" s="13">
        <f>TEXT(MOD(TIMEVALUE(B5)+14/1440,1),"HH:MM")</f>
        <v/>
      </c>
      <c r="C12" s="13">
        <f>TEXT(MOD(TIMEVALUE(C5)+14/1440,1),"HH:MM")</f>
        <v/>
      </c>
      <c r="D12" s="13">
        <f>TEXT(MOD(TIMEVALUE(D5)+14/1440,1),"HH:MM")</f>
        <v/>
      </c>
      <c r="E12" s="13">
        <f>TEXT(MOD(TIMEVALUE(E5)+14/1440,1),"HH:MM")</f>
        <v/>
      </c>
      <c r="F12" s="13">
        <f>TEXT(MOD(TIMEVALUE(F5)+14/1440,1),"HH:MM")</f>
        <v/>
      </c>
      <c r="G12" s="13">
        <f>TEXT(MOD(TIMEVALUE(G5)+14/1440,1),"HH:MM")</f>
        <v/>
      </c>
      <c r="H12" s="13">
        <f>TEXT(MOD(TIMEVALUE(H5)+14/1440,1),"HH:MM")</f>
        <v/>
      </c>
      <c r="I12" s="13">
        <f>TEXT(MOD(TIMEVALUE(I5)+14/1440,1),"HH:MM")</f>
        <v/>
      </c>
      <c r="J12" s="13">
        <f>TEXT(MOD(TIMEVALUE(J5)+14/1440,1),"HH:MM")</f>
        <v/>
      </c>
      <c r="K12" s="13">
        <f>TEXT(MOD(TIMEVALUE(K5)+14/1440,1),"HH:MM")</f>
        <v/>
      </c>
      <c r="L12" s="13">
        <f>TEXT(MOD(TIMEVALUE(L5)+14/1440,1),"HH:MM")</f>
        <v/>
      </c>
      <c r="M12" s="13">
        <f>TEXT(MOD(TIMEVALUE(M5)+14/1440,1),"HH:MM")</f>
        <v/>
      </c>
      <c r="N12" s="13">
        <f>TEXT(MOD(TIMEVALUE(N5)+14/1440,1),"HH:MM")</f>
        <v/>
      </c>
      <c r="O12" s="13">
        <f>TEXT(MOD(TIMEVALUE(O5)+14/1440,1),"HH:MM")</f>
        <v/>
      </c>
      <c r="P12" s="13">
        <f>TEXT(MOD(TIMEVALUE(P5)+14/1440,1),"HH:MM")</f>
        <v/>
      </c>
      <c r="Q12" s="13">
        <f>TEXT(MOD(TIMEVALUE(Q5)+14/1440,1),"HH:MM")</f>
        <v/>
      </c>
      <c r="R12" s="13">
        <f>TEXT(MOD(TIMEVALUE(R5)+14/1440,1),"HH:MM")</f>
        <v/>
      </c>
      <c r="S12" s="13">
        <f>TEXT(MOD(TIMEVALUE(S5)+14/1440,1),"HH:MM")</f>
        <v/>
      </c>
      <c r="T12" s="13">
        <f>TEXT(MOD(TIMEVALUE(T5)+14/1440,1),"HH:MM")</f>
        <v/>
      </c>
      <c r="U12" s="13">
        <f>TEXT(MOD(TIMEVALUE(U5)+14/1440,1),"HH:MM")</f>
        <v/>
      </c>
      <c r="V12" s="13">
        <f>TEXT(MOD(TIMEVALUE(V5)+14/1440,1),"HH:MM")</f>
        <v/>
      </c>
      <c r="W12" s="13">
        <f>TEXT(MOD(TIMEVALUE(W5)+14/1440,1),"HH:MM")</f>
        <v/>
      </c>
      <c r="X12" s="13">
        <f>TEXT(MOD(TIMEVALUE(X5)+14/1440,1),"HH:MM")</f>
        <v/>
      </c>
      <c r="Y12" s="13">
        <f>TEXT(MOD(TIMEVALUE(Y5)+14/1440,1),"HH:MM")</f>
        <v/>
      </c>
      <c r="Z12" s="13">
        <f>TEXT(MOD(TIMEVALUE(Z5)+14/1440,1),"HH:MM")</f>
        <v/>
      </c>
      <c r="AA12" s="13">
        <f>TEXT(MOD(TIMEVALUE(AA5)+14/1440,1),"HH:MM")</f>
        <v/>
      </c>
      <c r="AB12" s="13">
        <f>TEXT(MOD(TIMEVALUE(AB5)+14/1440,1),"HH:MM")</f>
        <v/>
      </c>
      <c r="AC12" s="13">
        <f>TEXT(MOD(TIMEVALUE(AC5)+14/1440,1),"HH:MM")</f>
        <v/>
      </c>
      <c r="AD12" s="13">
        <f>TEXT(MOD(TIMEVALUE(AD5)+14/1440,1),"HH:MM")</f>
        <v/>
      </c>
      <c r="AE12" s="13">
        <f>TEXT(MOD(TIMEVALUE(AE5)+14/1440,1),"HH:MM")</f>
        <v/>
      </c>
      <c r="AF12" s="13">
        <f>TEXT(MOD(TIMEVALUE(AF5)+14/1440,1),"HH:MM")</f>
        <v/>
      </c>
      <c r="AG12" s="13">
        <f>TEXT(MOD(TIMEVALUE(AG5)+14/1440,1),"HH:MM")</f>
        <v/>
      </c>
      <c r="AH12" s="13">
        <f>TEXT(MOD(TIMEVALUE(AH5)+14/1440,1),"HH:MM")</f>
        <v/>
      </c>
      <c r="AI12" s="13">
        <f>TEXT(MOD(TIMEVALUE(AI5)+14/1440,1),"HH:MM")</f>
        <v/>
      </c>
      <c r="AJ12" s="13">
        <f>TEXT(MOD(TIMEVALUE(AJ5)+14/1440,1),"HH:MM")</f>
        <v/>
      </c>
      <c r="AK12" s="13">
        <f>TEXT(MOD(TIMEVALUE(AK5)+14/1440,1),"HH:MM")</f>
        <v/>
      </c>
      <c r="AL12" s="13">
        <f>TEXT(MOD(TIMEVALUE(AL5)+14/1440,1),"HH:MM")</f>
        <v/>
      </c>
      <c r="AM12" s="13">
        <f>TEXT(MOD(TIMEVALUE(AM5)+14/1440,1),"HH:MM")</f>
        <v/>
      </c>
      <c r="AN12" s="13">
        <f>TEXT(MOD(TIMEVALUE(AN5)+14/1440,1),"HH:MM")</f>
        <v/>
      </c>
    </row>
    <row r="13" ht="16.5" customHeight="1" s="26">
      <c r="A13" s="14" t="inlineStr">
        <is>
          <t>Rubén Darío</t>
        </is>
      </c>
      <c r="B13" s="15">
        <f>TEXT(MOD(TIMEVALUE(B5)+18/1440,1),"HH:MM")</f>
        <v/>
      </c>
      <c r="C13" s="15">
        <f>TEXT(MOD(TIMEVALUE(C5)+18/1440,1),"HH:MM")</f>
        <v/>
      </c>
      <c r="D13" s="15">
        <f>TEXT(MOD(TIMEVALUE(D5)+18/1440,1),"HH:MM")</f>
        <v/>
      </c>
      <c r="E13" s="15">
        <f>TEXT(MOD(TIMEVALUE(E5)+18/1440,1),"HH:MM")</f>
        <v/>
      </c>
      <c r="F13" s="15">
        <f>TEXT(MOD(TIMEVALUE(F5)+18/1440,1),"HH:MM")</f>
        <v/>
      </c>
      <c r="G13" s="15">
        <f>TEXT(MOD(TIMEVALUE(G5)+18/1440,1),"HH:MM")</f>
        <v/>
      </c>
      <c r="H13" s="15">
        <f>TEXT(MOD(TIMEVALUE(H5)+18/1440,1),"HH:MM")</f>
        <v/>
      </c>
      <c r="I13" s="15">
        <f>TEXT(MOD(TIMEVALUE(I5)+18/1440,1),"HH:MM")</f>
        <v/>
      </c>
      <c r="J13" s="15">
        <f>TEXT(MOD(TIMEVALUE(J5)+18/1440,1),"HH:MM")</f>
        <v/>
      </c>
      <c r="K13" s="15">
        <f>TEXT(MOD(TIMEVALUE(K5)+18/1440,1),"HH:MM")</f>
        <v/>
      </c>
      <c r="L13" s="15">
        <f>TEXT(MOD(TIMEVALUE(L5)+18/1440,1),"HH:MM")</f>
        <v/>
      </c>
      <c r="M13" s="15">
        <f>TEXT(MOD(TIMEVALUE(M5)+18/1440,1),"HH:MM")</f>
        <v/>
      </c>
      <c r="N13" s="15">
        <f>TEXT(MOD(TIMEVALUE(N5)+18/1440,1),"HH:MM")</f>
        <v/>
      </c>
      <c r="O13" s="15">
        <f>TEXT(MOD(TIMEVALUE(O5)+18/1440,1),"HH:MM")</f>
        <v/>
      </c>
      <c r="P13" s="15">
        <f>TEXT(MOD(TIMEVALUE(P5)+18/1440,1),"HH:MM")</f>
        <v/>
      </c>
      <c r="Q13" s="15">
        <f>TEXT(MOD(TIMEVALUE(Q5)+18/1440,1),"HH:MM")</f>
        <v/>
      </c>
      <c r="R13" s="15">
        <f>TEXT(MOD(TIMEVALUE(R5)+18/1440,1),"HH:MM")</f>
        <v/>
      </c>
      <c r="S13" s="15">
        <f>TEXT(MOD(TIMEVALUE(S5)+18/1440,1),"HH:MM")</f>
        <v/>
      </c>
      <c r="T13" s="15">
        <f>TEXT(MOD(TIMEVALUE(T5)+18/1440,1),"HH:MM")</f>
        <v/>
      </c>
      <c r="U13" s="15">
        <f>TEXT(MOD(TIMEVALUE(U5)+18/1440,1),"HH:MM")</f>
        <v/>
      </c>
      <c r="V13" s="15">
        <f>TEXT(MOD(TIMEVALUE(V5)+18/1440,1),"HH:MM")</f>
        <v/>
      </c>
      <c r="W13" s="15">
        <f>TEXT(MOD(TIMEVALUE(W5)+18/1440,1),"HH:MM")</f>
        <v/>
      </c>
      <c r="X13" s="15">
        <f>TEXT(MOD(TIMEVALUE(X5)+18/1440,1),"HH:MM")</f>
        <v/>
      </c>
      <c r="Y13" s="15">
        <f>TEXT(MOD(TIMEVALUE(Y5)+18/1440,1),"HH:MM")</f>
        <v/>
      </c>
      <c r="Z13" s="15">
        <f>TEXT(MOD(TIMEVALUE(Z5)+18/1440,1),"HH:MM")</f>
        <v/>
      </c>
      <c r="AA13" s="15">
        <f>TEXT(MOD(TIMEVALUE(AA5)+18/1440,1),"HH:MM")</f>
        <v/>
      </c>
      <c r="AB13" s="15">
        <f>TEXT(MOD(TIMEVALUE(AB5)+18/1440,1),"HH:MM")</f>
        <v/>
      </c>
      <c r="AC13" s="15">
        <f>TEXT(MOD(TIMEVALUE(AC5)+18/1440,1),"HH:MM")</f>
        <v/>
      </c>
      <c r="AD13" s="15">
        <f>TEXT(MOD(TIMEVALUE(AD5)+18/1440,1),"HH:MM")</f>
        <v/>
      </c>
      <c r="AE13" s="15">
        <f>TEXT(MOD(TIMEVALUE(AE5)+18/1440,1),"HH:MM")</f>
        <v/>
      </c>
      <c r="AF13" s="15">
        <f>TEXT(MOD(TIMEVALUE(AF5)+18/1440,1),"HH:MM")</f>
        <v/>
      </c>
      <c r="AG13" s="15">
        <f>TEXT(MOD(TIMEVALUE(AG5)+18/1440,1),"HH:MM")</f>
        <v/>
      </c>
      <c r="AH13" s="15">
        <f>TEXT(MOD(TIMEVALUE(AH5)+18/1440,1),"HH:MM")</f>
        <v/>
      </c>
      <c r="AI13" s="15">
        <f>TEXT(MOD(TIMEVALUE(AI5)+18/1440,1),"HH:MM")</f>
        <v/>
      </c>
      <c r="AJ13" s="15">
        <f>TEXT(MOD(TIMEVALUE(AJ5)+18/1440,1),"HH:MM")</f>
        <v/>
      </c>
      <c r="AK13" s="15">
        <f>TEXT(MOD(TIMEVALUE(AK5)+18/1440,1),"HH:MM")</f>
        <v/>
      </c>
      <c r="AL13" s="15">
        <f>TEXT(MOD(TIMEVALUE(AL5)+18/1440,1),"HH:MM")</f>
        <v/>
      </c>
      <c r="AM13" s="15">
        <f>TEXT(MOD(TIMEVALUE(AM5)+18/1440,1),"HH:MM")</f>
        <v/>
      </c>
      <c r="AN13" s="15">
        <f>TEXT(MOD(TIMEVALUE(AN5)+18/1440,1),"HH:MM")</f>
        <v/>
      </c>
    </row>
    <row r="14" ht="16.5" customHeight="1" s="26">
      <c r="A14" s="12" t="inlineStr">
        <is>
          <t>Jorge Newbery</t>
        </is>
      </c>
      <c r="B14" s="13">
        <f>TEXT(MOD(TIMEVALUE(B5)+20/1440,1),"HH:MM")</f>
        <v/>
      </c>
      <c r="C14" s="13">
        <f>TEXT(MOD(TIMEVALUE(C5)+20/1440,1),"HH:MM")</f>
        <v/>
      </c>
      <c r="D14" s="13">
        <f>TEXT(MOD(TIMEVALUE(D5)+20/1440,1),"HH:MM")</f>
        <v/>
      </c>
      <c r="E14" s="13">
        <f>TEXT(MOD(TIMEVALUE(E5)+20/1440,1),"HH:MM")</f>
        <v/>
      </c>
      <c r="F14" s="13">
        <f>TEXT(MOD(TIMEVALUE(F5)+20/1440,1),"HH:MM")</f>
        <v/>
      </c>
      <c r="G14" s="13">
        <f>TEXT(MOD(TIMEVALUE(G5)+20/1440,1),"HH:MM")</f>
        <v/>
      </c>
      <c r="H14" s="13">
        <f>TEXT(MOD(TIMEVALUE(H5)+20/1440,1),"HH:MM")</f>
        <v/>
      </c>
      <c r="I14" s="13">
        <f>TEXT(MOD(TIMEVALUE(I5)+20/1440,1),"HH:MM")</f>
        <v/>
      </c>
      <c r="J14" s="13">
        <f>TEXT(MOD(TIMEVALUE(J5)+20/1440,1),"HH:MM")</f>
        <v/>
      </c>
      <c r="K14" s="13">
        <f>TEXT(MOD(TIMEVALUE(K5)+20/1440,1),"HH:MM")</f>
        <v/>
      </c>
      <c r="L14" s="13">
        <f>TEXT(MOD(TIMEVALUE(L5)+20/1440,1),"HH:MM")</f>
        <v/>
      </c>
      <c r="M14" s="13">
        <f>TEXT(MOD(TIMEVALUE(M5)+20/1440,1),"HH:MM")</f>
        <v/>
      </c>
      <c r="N14" s="13">
        <f>TEXT(MOD(TIMEVALUE(N5)+20/1440,1),"HH:MM")</f>
        <v/>
      </c>
      <c r="O14" s="13">
        <f>TEXT(MOD(TIMEVALUE(O5)+20/1440,1),"HH:MM")</f>
        <v/>
      </c>
      <c r="P14" s="13">
        <f>TEXT(MOD(TIMEVALUE(P5)+20/1440,1),"HH:MM")</f>
        <v/>
      </c>
      <c r="Q14" s="13">
        <f>TEXT(MOD(TIMEVALUE(Q5)+20/1440,1),"HH:MM")</f>
        <v/>
      </c>
      <c r="R14" s="13">
        <f>TEXT(MOD(TIMEVALUE(R5)+20/1440,1),"HH:MM")</f>
        <v/>
      </c>
      <c r="S14" s="13">
        <f>TEXT(MOD(TIMEVALUE(S5)+20/1440,1),"HH:MM")</f>
        <v/>
      </c>
      <c r="T14" s="13">
        <f>TEXT(MOD(TIMEVALUE(T5)+20/1440,1),"HH:MM")</f>
        <v/>
      </c>
      <c r="U14" s="13">
        <f>TEXT(MOD(TIMEVALUE(U5)+20/1440,1),"HH:MM")</f>
        <v/>
      </c>
      <c r="V14" s="13">
        <f>TEXT(MOD(TIMEVALUE(V5)+20/1440,1),"HH:MM")</f>
        <v/>
      </c>
      <c r="W14" s="13">
        <f>TEXT(MOD(TIMEVALUE(W5)+20/1440,1),"HH:MM")</f>
        <v/>
      </c>
      <c r="X14" s="13">
        <f>TEXT(MOD(TIMEVALUE(X5)+20/1440,1),"HH:MM")</f>
        <v/>
      </c>
      <c r="Y14" s="13">
        <f>TEXT(MOD(TIMEVALUE(Y5)+20/1440,1),"HH:MM")</f>
        <v/>
      </c>
      <c r="Z14" s="13">
        <f>TEXT(MOD(TIMEVALUE(Z5)+20/1440,1),"HH:MM")</f>
        <v/>
      </c>
      <c r="AA14" s="13">
        <f>TEXT(MOD(TIMEVALUE(AA5)+20/1440,1),"HH:MM")</f>
        <v/>
      </c>
      <c r="AB14" s="13">
        <f>TEXT(MOD(TIMEVALUE(AB5)+20/1440,1),"HH:MM")</f>
        <v/>
      </c>
      <c r="AC14" s="13">
        <f>TEXT(MOD(TIMEVALUE(AC5)+20/1440,1),"HH:MM")</f>
        <v/>
      </c>
      <c r="AD14" s="13">
        <f>TEXT(MOD(TIMEVALUE(AD5)+20/1440,1),"HH:MM")</f>
        <v/>
      </c>
      <c r="AE14" s="13">
        <f>TEXT(MOD(TIMEVALUE(AE5)+20/1440,1),"HH:MM")</f>
        <v/>
      </c>
      <c r="AF14" s="13">
        <f>TEXT(MOD(TIMEVALUE(AF5)+20/1440,1),"HH:MM")</f>
        <v/>
      </c>
      <c r="AG14" s="13">
        <f>TEXT(MOD(TIMEVALUE(AG5)+20/1440,1),"HH:MM")</f>
        <v/>
      </c>
      <c r="AH14" s="13">
        <f>TEXT(MOD(TIMEVALUE(AH5)+20/1440,1),"HH:MM")</f>
        <v/>
      </c>
      <c r="AI14" s="13">
        <f>TEXT(MOD(TIMEVALUE(AI5)+20/1440,1),"HH:MM")</f>
        <v/>
      </c>
      <c r="AJ14" s="13">
        <f>TEXT(MOD(TIMEVALUE(AJ5)+20/1440,1),"HH:MM")</f>
        <v/>
      </c>
      <c r="AK14" s="13">
        <f>TEXT(MOD(TIMEVALUE(AK5)+20/1440,1),"HH:MM")</f>
        <v/>
      </c>
      <c r="AL14" s="13">
        <f>TEXT(MOD(TIMEVALUE(AL5)+20/1440,1),"HH:MM")</f>
        <v/>
      </c>
      <c r="AM14" s="13">
        <f>TEXT(MOD(TIMEVALUE(AM5)+20/1440,1),"HH:MM")</f>
        <v/>
      </c>
      <c r="AN14" s="13">
        <f>TEXT(MOD(TIMEVALUE(AN5)+20/1440,1),"HH:MM")</f>
        <v/>
      </c>
    </row>
    <row r="15" ht="16.5" customHeight="1" s="26">
      <c r="A15" s="14" t="inlineStr">
        <is>
          <t>Pedro Podestá</t>
        </is>
      </c>
      <c r="B15" s="15">
        <f>TEXT(MOD(TIMEVALUE(B5)+22/1440,1),"HH:MM")</f>
        <v/>
      </c>
      <c r="C15" s="15">
        <f>TEXT(MOD(TIMEVALUE(C5)+22/1440,1),"HH:MM")</f>
        <v/>
      </c>
      <c r="D15" s="15">
        <f>TEXT(MOD(TIMEVALUE(D5)+22/1440,1),"HH:MM")</f>
        <v/>
      </c>
      <c r="E15" s="15">
        <f>TEXT(MOD(TIMEVALUE(E5)+22/1440,1),"HH:MM")</f>
        <v/>
      </c>
      <c r="F15" s="15">
        <f>TEXT(MOD(TIMEVALUE(F5)+22/1440,1),"HH:MM")</f>
        <v/>
      </c>
      <c r="G15" s="15">
        <f>TEXT(MOD(TIMEVALUE(G5)+22/1440,1),"HH:MM")</f>
        <v/>
      </c>
      <c r="H15" s="15">
        <f>TEXT(MOD(TIMEVALUE(H5)+22/1440,1),"HH:MM")</f>
        <v/>
      </c>
      <c r="I15" s="15">
        <f>TEXT(MOD(TIMEVALUE(I5)+22/1440,1),"HH:MM")</f>
        <v/>
      </c>
      <c r="J15" s="15">
        <f>TEXT(MOD(TIMEVALUE(J5)+22/1440,1),"HH:MM")</f>
        <v/>
      </c>
      <c r="K15" s="15">
        <f>TEXT(MOD(TIMEVALUE(K5)+22/1440,1),"HH:MM")</f>
        <v/>
      </c>
      <c r="L15" s="15">
        <f>TEXT(MOD(TIMEVALUE(L5)+22/1440,1),"HH:MM")</f>
        <v/>
      </c>
      <c r="M15" s="15">
        <f>TEXT(MOD(TIMEVALUE(M5)+22/1440,1),"HH:MM")</f>
        <v/>
      </c>
      <c r="N15" s="15">
        <f>TEXT(MOD(TIMEVALUE(N5)+22/1440,1),"HH:MM")</f>
        <v/>
      </c>
      <c r="O15" s="15">
        <f>TEXT(MOD(TIMEVALUE(O5)+22/1440,1),"HH:MM")</f>
        <v/>
      </c>
      <c r="P15" s="15">
        <f>TEXT(MOD(TIMEVALUE(P5)+22/1440,1),"HH:MM")</f>
        <v/>
      </c>
      <c r="Q15" s="15">
        <f>TEXT(MOD(TIMEVALUE(Q5)+22/1440,1),"HH:MM")</f>
        <v/>
      </c>
      <c r="R15" s="15">
        <f>TEXT(MOD(TIMEVALUE(R5)+22/1440,1),"HH:MM")</f>
        <v/>
      </c>
      <c r="S15" s="15">
        <f>TEXT(MOD(TIMEVALUE(S5)+22/1440,1),"HH:MM")</f>
        <v/>
      </c>
      <c r="T15" s="15">
        <f>TEXT(MOD(TIMEVALUE(T5)+22/1440,1),"HH:MM")</f>
        <v/>
      </c>
      <c r="U15" s="15">
        <f>TEXT(MOD(TIMEVALUE(U5)+22/1440,1),"HH:MM")</f>
        <v/>
      </c>
      <c r="V15" s="15">
        <f>TEXT(MOD(TIMEVALUE(V5)+22/1440,1),"HH:MM")</f>
        <v/>
      </c>
      <c r="W15" s="15">
        <f>TEXT(MOD(TIMEVALUE(W5)+22/1440,1),"HH:MM")</f>
        <v/>
      </c>
      <c r="X15" s="15">
        <f>TEXT(MOD(TIMEVALUE(X5)+22/1440,1),"HH:MM")</f>
        <v/>
      </c>
      <c r="Y15" s="15">
        <f>TEXT(MOD(TIMEVALUE(Y5)+22/1440,1),"HH:MM")</f>
        <v/>
      </c>
      <c r="Z15" s="15">
        <f>TEXT(MOD(TIMEVALUE(Z5)+22/1440,1),"HH:MM")</f>
        <v/>
      </c>
      <c r="AA15" s="15">
        <f>TEXT(MOD(TIMEVALUE(AA5)+22/1440,1),"HH:MM")</f>
        <v/>
      </c>
      <c r="AB15" s="15">
        <f>TEXT(MOD(TIMEVALUE(AB5)+22/1440,1),"HH:MM")</f>
        <v/>
      </c>
      <c r="AC15" s="15">
        <f>TEXT(MOD(TIMEVALUE(AC5)+22/1440,1),"HH:MM")</f>
        <v/>
      </c>
      <c r="AD15" s="15">
        <f>TEXT(MOD(TIMEVALUE(AD5)+22/1440,1),"HH:MM")</f>
        <v/>
      </c>
      <c r="AE15" s="15">
        <f>TEXT(MOD(TIMEVALUE(AE5)+22/1440,1),"HH:MM")</f>
        <v/>
      </c>
      <c r="AF15" s="15">
        <f>TEXT(MOD(TIMEVALUE(AF5)+22/1440,1),"HH:MM")</f>
        <v/>
      </c>
      <c r="AG15" s="15">
        <f>TEXT(MOD(TIMEVALUE(AG5)+22/1440,1),"HH:MM")</f>
        <v/>
      </c>
      <c r="AH15" s="15">
        <f>TEXT(MOD(TIMEVALUE(AH5)+22/1440,1),"HH:MM")</f>
        <v/>
      </c>
      <c r="AI15" s="15">
        <f>TEXT(MOD(TIMEVALUE(AI5)+22/1440,1),"HH:MM")</f>
        <v/>
      </c>
      <c r="AJ15" s="15">
        <f>TEXT(MOD(TIMEVALUE(AJ5)+22/1440,1),"HH:MM")</f>
        <v/>
      </c>
      <c r="AK15" s="15">
        <f>TEXT(MOD(TIMEVALUE(AK5)+22/1440,1),"HH:MM")</f>
        <v/>
      </c>
      <c r="AL15" s="15">
        <f>TEXT(MOD(TIMEVALUE(AL5)+22/1440,1),"HH:MM")</f>
        <v/>
      </c>
      <c r="AM15" s="15">
        <f>TEXT(MOD(TIMEVALUE(AM5)+22/1440,1),"HH:MM")</f>
        <v/>
      </c>
      <c r="AN15" s="15">
        <f>TEXT(MOD(TIMEVALUE(AN5)+22/1440,1),"HH:MM")</f>
        <v/>
      </c>
    </row>
    <row r="16" ht="16.5" customHeight="1" s="26">
      <c r="A16" s="12" t="inlineStr">
        <is>
          <t>Martín Coronado</t>
        </is>
      </c>
      <c r="B16" s="13">
        <f>TEXT(MOD(TIMEVALUE(B5)+24/1440,1),"HH:MM")</f>
        <v/>
      </c>
      <c r="C16" s="13">
        <f>TEXT(MOD(TIMEVALUE(C5)+24/1440,1),"HH:MM")</f>
        <v/>
      </c>
      <c r="D16" s="13">
        <f>TEXT(MOD(TIMEVALUE(D5)+24/1440,1),"HH:MM")</f>
        <v/>
      </c>
      <c r="E16" s="13">
        <f>TEXT(MOD(TIMEVALUE(E5)+24/1440,1),"HH:MM")</f>
        <v/>
      </c>
      <c r="F16" s="13">
        <f>TEXT(MOD(TIMEVALUE(F5)+24/1440,1),"HH:MM")</f>
        <v/>
      </c>
      <c r="G16" s="13">
        <f>TEXT(MOD(TIMEVALUE(G5)+24/1440,1),"HH:MM")</f>
        <v/>
      </c>
      <c r="H16" s="13">
        <f>TEXT(MOD(TIMEVALUE(H5)+24/1440,1),"HH:MM")</f>
        <v/>
      </c>
      <c r="I16" s="13">
        <f>TEXT(MOD(TIMEVALUE(I5)+24/1440,1),"HH:MM")</f>
        <v/>
      </c>
      <c r="J16" s="13">
        <f>TEXT(MOD(TIMEVALUE(J5)+24/1440,1),"HH:MM")</f>
        <v/>
      </c>
      <c r="K16" s="13">
        <f>TEXT(MOD(TIMEVALUE(K5)+24/1440,1),"HH:MM")</f>
        <v/>
      </c>
      <c r="L16" s="13">
        <f>TEXT(MOD(TIMEVALUE(L5)+24/1440,1),"HH:MM")</f>
        <v/>
      </c>
      <c r="M16" s="13">
        <f>TEXT(MOD(TIMEVALUE(M5)+24/1440,1),"HH:MM")</f>
        <v/>
      </c>
      <c r="N16" s="13">
        <f>TEXT(MOD(TIMEVALUE(N5)+24/1440,1),"HH:MM")</f>
        <v/>
      </c>
      <c r="O16" s="13">
        <f>TEXT(MOD(TIMEVALUE(O5)+24/1440,1),"HH:MM")</f>
        <v/>
      </c>
      <c r="P16" s="13">
        <f>TEXT(MOD(TIMEVALUE(P5)+24/1440,1),"HH:MM")</f>
        <v/>
      </c>
      <c r="Q16" s="13">
        <f>TEXT(MOD(TIMEVALUE(Q5)+24/1440,1),"HH:MM")</f>
        <v/>
      </c>
      <c r="R16" s="13">
        <f>TEXT(MOD(TIMEVALUE(R5)+24/1440,1),"HH:MM")</f>
        <v/>
      </c>
      <c r="S16" s="13">
        <f>TEXT(MOD(TIMEVALUE(S5)+24/1440,1),"HH:MM")</f>
        <v/>
      </c>
      <c r="T16" s="13">
        <f>TEXT(MOD(TIMEVALUE(T5)+24/1440,1),"HH:MM")</f>
        <v/>
      </c>
      <c r="U16" s="13">
        <f>TEXT(MOD(TIMEVALUE(U5)+24/1440,1),"HH:MM")</f>
        <v/>
      </c>
      <c r="V16" s="13">
        <f>TEXT(MOD(TIMEVALUE(V5)+24/1440,1),"HH:MM")</f>
        <v/>
      </c>
      <c r="W16" s="13">
        <f>TEXT(MOD(TIMEVALUE(W5)+24/1440,1),"HH:MM")</f>
        <v/>
      </c>
      <c r="X16" s="13">
        <f>TEXT(MOD(TIMEVALUE(X5)+24/1440,1),"HH:MM")</f>
        <v/>
      </c>
      <c r="Y16" s="13">
        <f>TEXT(MOD(TIMEVALUE(Y5)+24/1440,1),"HH:MM")</f>
        <v/>
      </c>
      <c r="Z16" s="13">
        <f>TEXT(MOD(TIMEVALUE(Z5)+24/1440,1),"HH:MM")</f>
        <v/>
      </c>
      <c r="AA16" s="13">
        <f>TEXT(MOD(TIMEVALUE(AA5)+24/1440,1),"HH:MM")</f>
        <v/>
      </c>
      <c r="AB16" s="13">
        <f>TEXT(MOD(TIMEVALUE(AB5)+24/1440,1),"HH:MM")</f>
        <v/>
      </c>
      <c r="AC16" s="13">
        <f>TEXT(MOD(TIMEVALUE(AC5)+24/1440,1),"HH:MM")</f>
        <v/>
      </c>
      <c r="AD16" s="13">
        <f>TEXT(MOD(TIMEVALUE(AD5)+24/1440,1),"HH:MM")</f>
        <v/>
      </c>
      <c r="AE16" s="13">
        <f>TEXT(MOD(TIMEVALUE(AE5)+24/1440,1),"HH:MM")</f>
        <v/>
      </c>
      <c r="AF16" s="13">
        <f>TEXT(MOD(TIMEVALUE(AF5)+24/1440,1),"HH:MM")</f>
        <v/>
      </c>
      <c r="AG16" s="13">
        <f>TEXT(MOD(TIMEVALUE(AG5)+24/1440,1),"HH:MM")</f>
        <v/>
      </c>
      <c r="AH16" s="13">
        <f>TEXT(MOD(TIMEVALUE(AH5)+24/1440,1),"HH:MM")</f>
        <v/>
      </c>
      <c r="AI16" s="13">
        <f>TEXT(MOD(TIMEVALUE(AI5)+24/1440,1),"HH:MM")</f>
        <v/>
      </c>
      <c r="AJ16" s="13">
        <f>TEXT(MOD(TIMEVALUE(AJ5)+24/1440,1),"HH:MM")</f>
        <v/>
      </c>
      <c r="AK16" s="13">
        <f>TEXT(MOD(TIMEVALUE(AK5)+24/1440,1),"HH:MM")</f>
        <v/>
      </c>
      <c r="AL16" s="13">
        <f>TEXT(MOD(TIMEVALUE(AL5)+24/1440,1),"HH:MM")</f>
        <v/>
      </c>
      <c r="AM16" s="13">
        <f>TEXT(MOD(TIMEVALUE(AM5)+24/1440,1),"HH:MM")</f>
        <v/>
      </c>
      <c r="AN16" s="13">
        <f>TEXT(MOD(TIMEVALUE(AN5)+24/1440,1),"HH:MM")</f>
        <v/>
      </c>
    </row>
    <row r="17" ht="16.5" customHeight="1" s="26">
      <c r="A17" s="14" t="inlineStr">
        <is>
          <t>José M. Bosch</t>
        </is>
      </c>
      <c r="B17" s="15">
        <f>TEXT(MOD(TIMEVALUE(B5)+27/1440,1),"HH:MM")</f>
        <v/>
      </c>
      <c r="C17" s="15">
        <f>TEXT(MOD(TIMEVALUE(C5)+27/1440,1),"HH:MM")</f>
        <v/>
      </c>
      <c r="D17" s="15">
        <f>TEXT(MOD(TIMEVALUE(D5)+27/1440,1),"HH:MM")</f>
        <v/>
      </c>
      <c r="E17" s="15">
        <f>TEXT(MOD(TIMEVALUE(E5)+27/1440,1),"HH:MM")</f>
        <v/>
      </c>
      <c r="F17" s="15">
        <f>TEXT(MOD(TIMEVALUE(F5)+27/1440,1),"HH:MM")</f>
        <v/>
      </c>
      <c r="G17" s="15">
        <f>TEXT(MOD(TIMEVALUE(G5)+27/1440,1),"HH:MM")</f>
        <v/>
      </c>
      <c r="H17" s="15">
        <f>TEXT(MOD(TIMEVALUE(H5)+27/1440,1),"HH:MM")</f>
        <v/>
      </c>
      <c r="I17" s="15">
        <f>TEXT(MOD(TIMEVALUE(I5)+27/1440,1),"HH:MM")</f>
        <v/>
      </c>
      <c r="J17" s="15">
        <f>TEXT(MOD(TIMEVALUE(J5)+27/1440,1),"HH:MM")</f>
        <v/>
      </c>
      <c r="K17" s="15">
        <f>TEXT(MOD(TIMEVALUE(K5)+27/1440,1),"HH:MM")</f>
        <v/>
      </c>
      <c r="L17" s="15">
        <f>TEXT(MOD(TIMEVALUE(L5)+27/1440,1),"HH:MM")</f>
        <v/>
      </c>
      <c r="M17" s="15">
        <f>TEXT(MOD(TIMEVALUE(M5)+27/1440,1),"HH:MM")</f>
        <v/>
      </c>
      <c r="N17" s="15">
        <f>TEXT(MOD(TIMEVALUE(N5)+27/1440,1),"HH:MM")</f>
        <v/>
      </c>
      <c r="O17" s="15">
        <f>TEXT(MOD(TIMEVALUE(O5)+27/1440,1),"HH:MM")</f>
        <v/>
      </c>
      <c r="P17" s="15">
        <f>TEXT(MOD(TIMEVALUE(P5)+27/1440,1),"HH:MM")</f>
        <v/>
      </c>
      <c r="Q17" s="15">
        <f>TEXT(MOD(TIMEVALUE(Q5)+27/1440,1),"HH:MM")</f>
        <v/>
      </c>
      <c r="R17" s="15">
        <f>TEXT(MOD(TIMEVALUE(R5)+27/1440,1),"HH:MM")</f>
        <v/>
      </c>
      <c r="S17" s="15">
        <f>TEXT(MOD(TIMEVALUE(S5)+27/1440,1),"HH:MM")</f>
        <v/>
      </c>
      <c r="T17" s="15">
        <f>TEXT(MOD(TIMEVALUE(T5)+27/1440,1),"HH:MM")</f>
        <v/>
      </c>
      <c r="U17" s="15">
        <f>TEXT(MOD(TIMEVALUE(U5)+27/1440,1),"HH:MM")</f>
        <v/>
      </c>
      <c r="V17" s="15">
        <f>TEXT(MOD(TIMEVALUE(V5)+27/1440,1),"HH:MM")</f>
        <v/>
      </c>
      <c r="W17" s="15">
        <f>TEXT(MOD(TIMEVALUE(W5)+27/1440,1),"HH:MM")</f>
        <v/>
      </c>
      <c r="X17" s="15">
        <f>TEXT(MOD(TIMEVALUE(X5)+27/1440,1),"HH:MM")</f>
        <v/>
      </c>
      <c r="Y17" s="15">
        <f>TEXT(MOD(TIMEVALUE(Y5)+27/1440,1),"HH:MM")</f>
        <v/>
      </c>
      <c r="Z17" s="15">
        <f>TEXT(MOD(TIMEVALUE(Z5)+27/1440,1),"HH:MM")</f>
        <v/>
      </c>
      <c r="AA17" s="15">
        <f>TEXT(MOD(TIMEVALUE(AA5)+27/1440,1),"HH:MM")</f>
        <v/>
      </c>
      <c r="AB17" s="15">
        <f>TEXT(MOD(TIMEVALUE(AB5)+27/1440,1),"HH:MM")</f>
        <v/>
      </c>
      <c r="AC17" s="15">
        <f>TEXT(MOD(TIMEVALUE(AC5)+27/1440,1),"HH:MM")</f>
        <v/>
      </c>
      <c r="AD17" s="15">
        <f>TEXT(MOD(TIMEVALUE(AD5)+27/1440,1),"HH:MM")</f>
        <v/>
      </c>
      <c r="AE17" s="15">
        <f>TEXT(MOD(TIMEVALUE(AE5)+27/1440,1),"HH:MM")</f>
        <v/>
      </c>
      <c r="AF17" s="15">
        <f>TEXT(MOD(TIMEVALUE(AF5)+27/1440,1),"HH:MM")</f>
        <v/>
      </c>
      <c r="AG17" s="15">
        <f>TEXT(MOD(TIMEVALUE(AG5)+27/1440,1),"HH:MM")</f>
        <v/>
      </c>
      <c r="AH17" s="15">
        <f>TEXT(MOD(TIMEVALUE(AH5)+27/1440,1),"HH:MM")</f>
        <v/>
      </c>
      <c r="AI17" s="15">
        <f>TEXT(MOD(TIMEVALUE(AI5)+27/1440,1),"HH:MM")</f>
        <v/>
      </c>
      <c r="AJ17" s="15">
        <f>TEXT(MOD(TIMEVALUE(AJ5)+27/1440,1),"HH:MM")</f>
        <v/>
      </c>
      <c r="AK17" s="15">
        <f>TEXT(MOD(TIMEVALUE(AK5)+27/1440,1),"HH:MM")</f>
        <v/>
      </c>
      <c r="AL17" s="15">
        <f>TEXT(MOD(TIMEVALUE(AL5)+27/1440,1),"HH:MM")</f>
        <v/>
      </c>
      <c r="AM17" s="15">
        <f>TEXT(MOD(TIMEVALUE(AM5)+27/1440,1),"HH:MM")</f>
        <v/>
      </c>
      <c r="AN17" s="15">
        <f>TEXT(MOD(TIMEVALUE(AN5)+27/1440,1),"HH:MM")</f>
        <v/>
      </c>
    </row>
    <row r="18" ht="16.5" customHeight="1" s="26">
      <c r="A18" s="12" t="inlineStr">
        <is>
          <t>Tropezón</t>
        </is>
      </c>
      <c r="B18" s="13">
        <f>TEXT(MOD(TIMEVALUE(B5)+29/1440,1),"HH:MM")</f>
        <v/>
      </c>
      <c r="C18" s="13">
        <f>TEXT(MOD(TIMEVALUE(C5)+29/1440,1),"HH:MM")</f>
        <v/>
      </c>
      <c r="D18" s="13">
        <f>TEXT(MOD(TIMEVALUE(D5)+29/1440,1),"HH:MM")</f>
        <v/>
      </c>
      <c r="E18" s="13">
        <f>TEXT(MOD(TIMEVALUE(E5)+29/1440,1),"HH:MM")</f>
        <v/>
      </c>
      <c r="F18" s="13">
        <f>TEXT(MOD(TIMEVALUE(F5)+29/1440,1),"HH:MM")</f>
        <v/>
      </c>
      <c r="G18" s="13">
        <f>TEXT(MOD(TIMEVALUE(G5)+29/1440,1),"HH:MM")</f>
        <v/>
      </c>
      <c r="H18" s="13">
        <f>TEXT(MOD(TIMEVALUE(H5)+29/1440,1),"HH:MM")</f>
        <v/>
      </c>
      <c r="I18" s="13">
        <f>TEXT(MOD(TIMEVALUE(I5)+29/1440,1),"HH:MM")</f>
        <v/>
      </c>
      <c r="J18" s="13">
        <f>TEXT(MOD(TIMEVALUE(J5)+29/1440,1),"HH:MM")</f>
        <v/>
      </c>
      <c r="K18" s="13">
        <f>TEXT(MOD(TIMEVALUE(K5)+29/1440,1),"HH:MM")</f>
        <v/>
      </c>
      <c r="L18" s="13">
        <f>TEXT(MOD(TIMEVALUE(L5)+29/1440,1),"HH:MM")</f>
        <v/>
      </c>
      <c r="M18" s="13">
        <f>TEXT(MOD(TIMEVALUE(M5)+29/1440,1),"HH:MM")</f>
        <v/>
      </c>
      <c r="N18" s="13">
        <f>TEXT(MOD(TIMEVALUE(N5)+29/1440,1),"HH:MM")</f>
        <v/>
      </c>
      <c r="O18" s="13">
        <f>TEXT(MOD(TIMEVALUE(O5)+29/1440,1),"HH:MM")</f>
        <v/>
      </c>
      <c r="P18" s="13">
        <f>TEXT(MOD(TIMEVALUE(P5)+29/1440,1),"HH:MM")</f>
        <v/>
      </c>
      <c r="Q18" s="13">
        <f>TEXT(MOD(TIMEVALUE(Q5)+29/1440,1),"HH:MM")</f>
        <v/>
      </c>
      <c r="R18" s="13">
        <f>TEXT(MOD(TIMEVALUE(R5)+29/1440,1),"HH:MM")</f>
        <v/>
      </c>
      <c r="S18" s="13">
        <f>TEXT(MOD(TIMEVALUE(S5)+29/1440,1),"HH:MM")</f>
        <v/>
      </c>
      <c r="T18" s="13">
        <f>TEXT(MOD(TIMEVALUE(T5)+29/1440,1),"HH:MM")</f>
        <v/>
      </c>
      <c r="U18" s="13">
        <f>TEXT(MOD(TIMEVALUE(U5)+29/1440,1),"HH:MM")</f>
        <v/>
      </c>
      <c r="V18" s="13">
        <f>TEXT(MOD(TIMEVALUE(V5)+29/1440,1),"HH:MM")</f>
        <v/>
      </c>
      <c r="W18" s="13">
        <f>TEXT(MOD(TIMEVALUE(W5)+29/1440,1),"HH:MM")</f>
        <v/>
      </c>
      <c r="X18" s="13">
        <f>TEXT(MOD(TIMEVALUE(X5)+29/1440,1),"HH:MM")</f>
        <v/>
      </c>
      <c r="Y18" s="13">
        <f>TEXT(MOD(TIMEVALUE(Y5)+29/1440,1),"HH:MM")</f>
        <v/>
      </c>
      <c r="Z18" s="13">
        <f>TEXT(MOD(TIMEVALUE(Z5)+29/1440,1),"HH:MM")</f>
        <v/>
      </c>
      <c r="AA18" s="13">
        <f>TEXT(MOD(TIMEVALUE(AA5)+29/1440,1),"HH:MM")</f>
        <v/>
      </c>
      <c r="AB18" s="13">
        <f>TEXT(MOD(TIMEVALUE(AB5)+29/1440,1),"HH:MM")</f>
        <v/>
      </c>
      <c r="AC18" s="13">
        <f>TEXT(MOD(TIMEVALUE(AC5)+29/1440,1),"HH:MM")</f>
        <v/>
      </c>
      <c r="AD18" s="13">
        <f>TEXT(MOD(TIMEVALUE(AD5)+29/1440,1),"HH:MM")</f>
        <v/>
      </c>
      <c r="AE18" s="13">
        <f>TEXT(MOD(TIMEVALUE(AE5)+29/1440,1),"HH:MM")</f>
        <v/>
      </c>
      <c r="AF18" s="13">
        <f>TEXT(MOD(TIMEVALUE(AF5)+29/1440,1),"HH:MM")</f>
        <v/>
      </c>
      <c r="AG18" s="13">
        <f>TEXT(MOD(TIMEVALUE(AG5)+29/1440,1),"HH:MM")</f>
        <v/>
      </c>
      <c r="AH18" s="13">
        <f>TEXT(MOD(TIMEVALUE(AH5)+29/1440,1),"HH:MM")</f>
        <v/>
      </c>
      <c r="AI18" s="13">
        <f>TEXT(MOD(TIMEVALUE(AI5)+29/1440,1),"HH:MM")</f>
        <v/>
      </c>
      <c r="AJ18" s="13">
        <f>TEXT(MOD(TIMEVALUE(AJ5)+29/1440,1),"HH:MM")</f>
        <v/>
      </c>
      <c r="AK18" s="13">
        <f>TEXT(MOD(TIMEVALUE(AK5)+29/1440,1),"HH:MM")</f>
        <v/>
      </c>
      <c r="AL18" s="13">
        <f>TEXT(MOD(TIMEVALUE(AL5)+29/1440,1),"HH:MM")</f>
        <v/>
      </c>
      <c r="AM18" s="13">
        <f>TEXT(MOD(TIMEVALUE(AM5)+29/1440,1),"HH:MM")</f>
        <v/>
      </c>
      <c r="AN18" s="13">
        <f>TEXT(MOD(TIMEVALUE(AN5)+29/1440,1),"HH:MM")</f>
        <v/>
      </c>
    </row>
    <row r="19" ht="16.5" customHeight="1" s="26">
      <c r="A19" s="14" t="inlineStr">
        <is>
          <t>Lourdes</t>
        </is>
      </c>
      <c r="B19" s="15">
        <f>TEXT(MOD(TIMEVALUE(B5)+31/1440,1),"HH:MM")</f>
        <v/>
      </c>
      <c r="C19" s="15">
        <f>TEXT(MOD(TIMEVALUE(C5)+31/1440,1),"HH:MM")</f>
        <v/>
      </c>
      <c r="D19" s="15">
        <f>TEXT(MOD(TIMEVALUE(D5)+31/1440,1),"HH:MM")</f>
        <v/>
      </c>
      <c r="E19" s="15">
        <f>TEXT(MOD(TIMEVALUE(E5)+31/1440,1),"HH:MM")</f>
        <v/>
      </c>
      <c r="F19" s="15">
        <f>TEXT(MOD(TIMEVALUE(F5)+31/1440,1),"HH:MM")</f>
        <v/>
      </c>
      <c r="G19" s="15">
        <f>TEXT(MOD(TIMEVALUE(G5)+31/1440,1),"HH:MM")</f>
        <v/>
      </c>
      <c r="H19" s="15">
        <f>TEXT(MOD(TIMEVALUE(H5)+31/1440,1),"HH:MM")</f>
        <v/>
      </c>
      <c r="I19" s="15">
        <f>TEXT(MOD(TIMEVALUE(I5)+31/1440,1),"HH:MM")</f>
        <v/>
      </c>
      <c r="J19" s="15">
        <f>TEXT(MOD(TIMEVALUE(J5)+31/1440,1),"HH:MM")</f>
        <v/>
      </c>
      <c r="K19" s="15">
        <f>TEXT(MOD(TIMEVALUE(K5)+31/1440,1),"HH:MM")</f>
        <v/>
      </c>
      <c r="L19" s="15">
        <f>TEXT(MOD(TIMEVALUE(L5)+31/1440,1),"HH:MM")</f>
        <v/>
      </c>
      <c r="M19" s="15">
        <f>TEXT(MOD(TIMEVALUE(M5)+31/1440,1),"HH:MM")</f>
        <v/>
      </c>
      <c r="N19" s="15">
        <f>TEXT(MOD(TIMEVALUE(N5)+31/1440,1),"HH:MM")</f>
        <v/>
      </c>
      <c r="O19" s="15">
        <f>TEXT(MOD(TIMEVALUE(O5)+31/1440,1),"HH:MM")</f>
        <v/>
      </c>
      <c r="P19" s="15">
        <f>TEXT(MOD(TIMEVALUE(P5)+31/1440,1),"HH:MM")</f>
        <v/>
      </c>
      <c r="Q19" s="15">
        <f>TEXT(MOD(TIMEVALUE(Q5)+31/1440,1),"HH:MM")</f>
        <v/>
      </c>
      <c r="R19" s="15">
        <f>TEXT(MOD(TIMEVALUE(R5)+31/1440,1),"HH:MM")</f>
        <v/>
      </c>
      <c r="S19" s="15">
        <f>TEXT(MOD(TIMEVALUE(S5)+31/1440,1),"HH:MM")</f>
        <v/>
      </c>
      <c r="T19" s="15">
        <f>TEXT(MOD(TIMEVALUE(T5)+31/1440,1),"HH:MM")</f>
        <v/>
      </c>
      <c r="U19" s="15">
        <f>TEXT(MOD(TIMEVALUE(U5)+31/1440,1),"HH:MM")</f>
        <v/>
      </c>
      <c r="V19" s="15">
        <f>TEXT(MOD(TIMEVALUE(V5)+31/1440,1),"HH:MM")</f>
        <v/>
      </c>
      <c r="W19" s="15">
        <f>TEXT(MOD(TIMEVALUE(W5)+31/1440,1),"HH:MM")</f>
        <v/>
      </c>
      <c r="X19" s="15">
        <f>TEXT(MOD(TIMEVALUE(X5)+31/1440,1),"HH:MM")</f>
        <v/>
      </c>
      <c r="Y19" s="15">
        <f>TEXT(MOD(TIMEVALUE(Y5)+31/1440,1),"HH:MM")</f>
        <v/>
      </c>
      <c r="Z19" s="15">
        <f>TEXT(MOD(TIMEVALUE(Z5)+31/1440,1),"HH:MM")</f>
        <v/>
      </c>
      <c r="AA19" s="15">
        <f>TEXT(MOD(TIMEVALUE(AA5)+31/1440,1),"HH:MM")</f>
        <v/>
      </c>
      <c r="AB19" s="15">
        <f>TEXT(MOD(TIMEVALUE(AB5)+31/1440,1),"HH:MM")</f>
        <v/>
      </c>
      <c r="AC19" s="15">
        <f>TEXT(MOD(TIMEVALUE(AC5)+31/1440,1),"HH:MM")</f>
        <v/>
      </c>
      <c r="AD19" s="15">
        <f>TEXT(MOD(TIMEVALUE(AD5)+31/1440,1),"HH:MM")</f>
        <v/>
      </c>
      <c r="AE19" s="15">
        <f>TEXT(MOD(TIMEVALUE(AE5)+31/1440,1),"HH:MM")</f>
        <v/>
      </c>
      <c r="AF19" s="15">
        <f>TEXT(MOD(TIMEVALUE(AF5)+31/1440,1),"HH:MM")</f>
        <v/>
      </c>
      <c r="AG19" s="15">
        <f>TEXT(MOD(TIMEVALUE(AG5)+31/1440,1),"HH:MM")</f>
        <v/>
      </c>
      <c r="AH19" s="15">
        <f>TEXT(MOD(TIMEVALUE(AH5)+31/1440,1),"HH:MM")</f>
        <v/>
      </c>
      <c r="AI19" s="15">
        <f>TEXT(MOD(TIMEVALUE(AI5)+31/1440,1),"HH:MM")</f>
        <v/>
      </c>
      <c r="AJ19" s="15">
        <f>TEXT(MOD(TIMEVALUE(AJ5)+31/1440,1),"HH:MM")</f>
        <v/>
      </c>
      <c r="AK19" s="15">
        <f>TEXT(MOD(TIMEVALUE(AK5)+31/1440,1),"HH:MM")</f>
        <v/>
      </c>
      <c r="AL19" s="15">
        <f>TEXT(MOD(TIMEVALUE(AL5)+31/1440,1),"HH:MM")</f>
        <v/>
      </c>
      <c r="AM19" s="15">
        <f>TEXT(MOD(TIMEVALUE(AM5)+31/1440,1),"HH:MM")</f>
        <v/>
      </c>
      <c r="AN19" s="15">
        <f>TEXT(MOD(TIMEVALUE(AN5)+31/1440,1),"HH:MM")</f>
        <v/>
      </c>
    </row>
    <row r="20" ht="16.5" customHeight="1" s="26">
      <c r="A20" s="12" t="inlineStr">
        <is>
          <t>Fernández Moreno</t>
        </is>
      </c>
      <c r="B20" s="13">
        <f>TEXT(MOD(TIMEVALUE(B5)+33/1440,1),"HH:MM")</f>
        <v/>
      </c>
      <c r="C20" s="13">
        <f>TEXT(MOD(TIMEVALUE(C5)+33/1440,1),"HH:MM")</f>
        <v/>
      </c>
      <c r="D20" s="13">
        <f>TEXT(MOD(TIMEVALUE(D5)+33/1440,1),"HH:MM")</f>
        <v/>
      </c>
      <c r="E20" s="13">
        <f>TEXT(MOD(TIMEVALUE(E5)+33/1440,1),"HH:MM")</f>
        <v/>
      </c>
      <c r="F20" s="13">
        <f>TEXT(MOD(TIMEVALUE(F5)+33/1440,1),"HH:MM")</f>
        <v/>
      </c>
      <c r="G20" s="13">
        <f>TEXT(MOD(TIMEVALUE(G5)+33/1440,1),"HH:MM")</f>
        <v/>
      </c>
      <c r="H20" s="13">
        <f>TEXT(MOD(TIMEVALUE(H5)+33/1440,1),"HH:MM")</f>
        <v/>
      </c>
      <c r="I20" s="13">
        <f>TEXT(MOD(TIMEVALUE(I5)+33/1440,1),"HH:MM")</f>
        <v/>
      </c>
      <c r="J20" s="13">
        <f>TEXT(MOD(TIMEVALUE(J5)+33/1440,1),"HH:MM")</f>
        <v/>
      </c>
      <c r="K20" s="13">
        <f>TEXT(MOD(TIMEVALUE(K5)+33/1440,1),"HH:MM")</f>
        <v/>
      </c>
      <c r="L20" s="13">
        <f>TEXT(MOD(TIMEVALUE(L5)+33/1440,1),"HH:MM")</f>
        <v/>
      </c>
      <c r="M20" s="13">
        <f>TEXT(MOD(TIMEVALUE(M5)+33/1440,1),"HH:MM")</f>
        <v/>
      </c>
      <c r="N20" s="13">
        <f>TEXT(MOD(TIMEVALUE(N5)+33/1440,1),"HH:MM")</f>
        <v/>
      </c>
      <c r="O20" s="13">
        <f>TEXT(MOD(TIMEVALUE(O5)+33/1440,1),"HH:MM")</f>
        <v/>
      </c>
      <c r="P20" s="13">
        <f>TEXT(MOD(TIMEVALUE(P5)+33/1440,1),"HH:MM")</f>
        <v/>
      </c>
      <c r="Q20" s="13">
        <f>TEXT(MOD(TIMEVALUE(Q5)+33/1440,1),"HH:MM")</f>
        <v/>
      </c>
      <c r="R20" s="13">
        <f>TEXT(MOD(TIMEVALUE(R5)+33/1440,1),"HH:MM")</f>
        <v/>
      </c>
      <c r="S20" s="13">
        <f>TEXT(MOD(TIMEVALUE(S5)+33/1440,1),"HH:MM")</f>
        <v/>
      </c>
      <c r="T20" s="13">
        <f>TEXT(MOD(TIMEVALUE(T5)+33/1440,1),"HH:MM")</f>
        <v/>
      </c>
      <c r="U20" s="13">
        <f>TEXT(MOD(TIMEVALUE(U5)+33/1440,1),"HH:MM")</f>
        <v/>
      </c>
      <c r="V20" s="13">
        <f>TEXT(MOD(TIMEVALUE(V5)+33/1440,1),"HH:MM")</f>
        <v/>
      </c>
      <c r="W20" s="13">
        <f>TEXT(MOD(TIMEVALUE(W5)+33/1440,1),"HH:MM")</f>
        <v/>
      </c>
      <c r="X20" s="13">
        <f>TEXT(MOD(TIMEVALUE(X5)+33/1440,1),"HH:MM")</f>
        <v/>
      </c>
      <c r="Y20" s="13">
        <f>TEXT(MOD(TIMEVALUE(Y5)+33/1440,1),"HH:MM")</f>
        <v/>
      </c>
      <c r="Z20" s="13">
        <f>TEXT(MOD(TIMEVALUE(Z5)+33/1440,1),"HH:MM")</f>
        <v/>
      </c>
      <c r="AA20" s="13">
        <f>TEXT(MOD(TIMEVALUE(AA5)+33/1440,1),"HH:MM")</f>
        <v/>
      </c>
      <c r="AB20" s="13">
        <f>TEXT(MOD(TIMEVALUE(AB5)+33/1440,1),"HH:MM")</f>
        <v/>
      </c>
      <c r="AC20" s="13">
        <f>TEXT(MOD(TIMEVALUE(AC5)+33/1440,1),"HH:MM")</f>
        <v/>
      </c>
      <c r="AD20" s="13">
        <f>TEXT(MOD(TIMEVALUE(AD5)+33/1440,1),"HH:MM")</f>
        <v/>
      </c>
      <c r="AE20" s="13">
        <f>TEXT(MOD(TIMEVALUE(AE5)+33/1440,1),"HH:MM")</f>
        <v/>
      </c>
      <c r="AF20" s="13">
        <f>TEXT(MOD(TIMEVALUE(AF5)+33/1440,1),"HH:MM")</f>
        <v/>
      </c>
      <c r="AG20" s="13">
        <f>TEXT(MOD(TIMEVALUE(AG5)+33/1440,1),"HH:MM")</f>
        <v/>
      </c>
      <c r="AH20" s="13">
        <f>TEXT(MOD(TIMEVALUE(AH5)+33/1440,1),"HH:MM")</f>
        <v/>
      </c>
      <c r="AI20" s="13">
        <f>TEXT(MOD(TIMEVALUE(AI5)+33/1440,1),"HH:MM")</f>
        <v/>
      </c>
      <c r="AJ20" s="13">
        <f>TEXT(MOD(TIMEVALUE(AJ5)+33/1440,1),"HH:MM")</f>
        <v/>
      </c>
      <c r="AK20" s="13">
        <f>TEXT(MOD(TIMEVALUE(AK5)+33/1440,1),"HH:MM")</f>
        <v/>
      </c>
      <c r="AL20" s="13">
        <f>TEXT(MOD(TIMEVALUE(AL5)+33/1440,1),"HH:MM")</f>
        <v/>
      </c>
      <c r="AM20" s="13">
        <f>TEXT(MOD(TIMEVALUE(AM5)+33/1440,1),"HH:MM")</f>
        <v/>
      </c>
      <c r="AN20" s="13">
        <f>TEXT(MOD(TIMEVALUE(AN5)+33/1440,1),"HH:MM")</f>
        <v/>
      </c>
    </row>
    <row r="21" ht="16.5" customHeight="1" s="26">
      <c r="A21" s="14" t="inlineStr">
        <is>
          <t>Cnel. Fco. Lynch</t>
        </is>
      </c>
      <c r="B21" s="15">
        <f>TEXT(MOD(TIMEVALUE(B5)+35/1440,1),"HH:MM")</f>
        <v/>
      </c>
      <c r="C21" s="15">
        <f>TEXT(MOD(TIMEVALUE(C5)+35/1440,1),"HH:MM")</f>
        <v/>
      </c>
      <c r="D21" s="15">
        <f>TEXT(MOD(TIMEVALUE(D5)+35/1440,1),"HH:MM")</f>
        <v/>
      </c>
      <c r="E21" s="15">
        <f>TEXT(MOD(TIMEVALUE(E5)+35/1440,1),"HH:MM")</f>
        <v/>
      </c>
      <c r="F21" s="15">
        <f>TEXT(MOD(TIMEVALUE(F5)+35/1440,1),"HH:MM")</f>
        <v/>
      </c>
      <c r="G21" s="15">
        <f>TEXT(MOD(TIMEVALUE(G5)+35/1440,1),"HH:MM")</f>
        <v/>
      </c>
      <c r="H21" s="15">
        <f>TEXT(MOD(TIMEVALUE(H5)+35/1440,1),"HH:MM")</f>
        <v/>
      </c>
      <c r="I21" s="15">
        <f>TEXT(MOD(TIMEVALUE(I5)+35/1440,1),"HH:MM")</f>
        <v/>
      </c>
      <c r="J21" s="15">
        <f>TEXT(MOD(TIMEVALUE(J5)+35/1440,1),"HH:MM")</f>
        <v/>
      </c>
      <c r="K21" s="15">
        <f>TEXT(MOD(TIMEVALUE(K5)+35/1440,1),"HH:MM")</f>
        <v/>
      </c>
      <c r="L21" s="15">
        <f>TEXT(MOD(TIMEVALUE(L5)+35/1440,1),"HH:MM")</f>
        <v/>
      </c>
      <c r="M21" s="15">
        <f>TEXT(MOD(TIMEVALUE(M5)+35/1440,1),"HH:MM")</f>
        <v/>
      </c>
      <c r="N21" s="15">
        <f>TEXT(MOD(TIMEVALUE(N5)+35/1440,1),"HH:MM")</f>
        <v/>
      </c>
      <c r="O21" s="15">
        <f>TEXT(MOD(TIMEVALUE(O5)+35/1440,1),"HH:MM")</f>
        <v/>
      </c>
      <c r="P21" s="15">
        <f>TEXT(MOD(TIMEVALUE(P5)+35/1440,1),"HH:MM")</f>
        <v/>
      </c>
      <c r="Q21" s="15">
        <f>TEXT(MOD(TIMEVALUE(Q5)+35/1440,1),"HH:MM")</f>
        <v/>
      </c>
      <c r="R21" s="15">
        <f>TEXT(MOD(TIMEVALUE(R5)+35/1440,1),"HH:MM")</f>
        <v/>
      </c>
      <c r="S21" s="15">
        <f>TEXT(MOD(TIMEVALUE(S5)+35/1440,1),"HH:MM")</f>
        <v/>
      </c>
      <c r="T21" s="15">
        <f>TEXT(MOD(TIMEVALUE(T5)+35/1440,1),"HH:MM")</f>
        <v/>
      </c>
      <c r="U21" s="15">
        <f>TEXT(MOD(TIMEVALUE(U5)+35/1440,1),"HH:MM")</f>
        <v/>
      </c>
      <c r="V21" s="15">
        <f>TEXT(MOD(TIMEVALUE(V5)+35/1440,1),"HH:MM")</f>
        <v/>
      </c>
      <c r="W21" s="15">
        <f>TEXT(MOD(TIMEVALUE(W5)+35/1440,1),"HH:MM")</f>
        <v/>
      </c>
      <c r="X21" s="15">
        <f>TEXT(MOD(TIMEVALUE(X5)+35/1440,1),"HH:MM")</f>
        <v/>
      </c>
      <c r="Y21" s="15">
        <f>TEXT(MOD(TIMEVALUE(Y5)+35/1440,1),"HH:MM")</f>
        <v/>
      </c>
      <c r="Z21" s="15">
        <f>TEXT(MOD(TIMEVALUE(Z5)+35/1440,1),"HH:MM")</f>
        <v/>
      </c>
      <c r="AA21" s="15">
        <f>TEXT(MOD(TIMEVALUE(AA5)+35/1440,1),"HH:MM")</f>
        <v/>
      </c>
      <c r="AB21" s="15">
        <f>TEXT(MOD(TIMEVALUE(AB5)+35/1440,1),"HH:MM")</f>
        <v/>
      </c>
      <c r="AC21" s="15">
        <f>TEXT(MOD(TIMEVALUE(AC5)+35/1440,1),"HH:MM")</f>
        <v/>
      </c>
      <c r="AD21" s="15">
        <f>TEXT(MOD(TIMEVALUE(AD5)+35/1440,1),"HH:MM")</f>
        <v/>
      </c>
      <c r="AE21" s="15">
        <f>TEXT(MOD(TIMEVALUE(AE5)+35/1440,1),"HH:MM")</f>
        <v/>
      </c>
      <c r="AF21" s="15">
        <f>TEXT(MOD(TIMEVALUE(AF5)+35/1440,1),"HH:MM")</f>
        <v/>
      </c>
      <c r="AG21" s="15">
        <f>TEXT(MOD(TIMEVALUE(AG5)+35/1440,1),"HH:MM")</f>
        <v/>
      </c>
      <c r="AH21" s="15">
        <f>TEXT(MOD(TIMEVALUE(AH5)+35/1440,1),"HH:MM")</f>
        <v/>
      </c>
      <c r="AI21" s="15">
        <f>TEXT(MOD(TIMEVALUE(AI5)+35/1440,1),"HH:MM")</f>
        <v/>
      </c>
      <c r="AJ21" s="15">
        <f>TEXT(MOD(TIMEVALUE(AJ5)+35/1440,1),"HH:MM")</f>
        <v/>
      </c>
      <c r="AK21" s="15">
        <f>TEXT(MOD(TIMEVALUE(AK5)+35/1440,1),"HH:MM")</f>
        <v/>
      </c>
      <c r="AL21" s="15">
        <f>TEXT(MOD(TIMEVALUE(AL5)+35/1440,1),"HH:MM")</f>
        <v/>
      </c>
      <c r="AM21" s="15">
        <f>TEXT(MOD(TIMEVALUE(AM5)+35/1440,1),"HH:MM")</f>
        <v/>
      </c>
      <c r="AN21" s="15">
        <f>TEXT(MOD(TIMEVALUE(AN5)+35/1440,1),"HH:MM")</f>
        <v/>
      </c>
    </row>
    <row r="22" ht="16.5" customHeight="1" s="26">
      <c r="A22" s="12" t="inlineStr">
        <is>
          <t>Antonio Devoto</t>
        </is>
      </c>
      <c r="B22" s="13">
        <f>TEXT(MOD(TIMEVALUE(B5)+37/1440,1),"HH:MM")</f>
        <v/>
      </c>
      <c r="C22" s="13">
        <f>TEXT(MOD(TIMEVALUE(C5)+37/1440,1),"HH:MM")</f>
        <v/>
      </c>
      <c r="D22" s="13">
        <f>TEXT(MOD(TIMEVALUE(D5)+37/1440,1),"HH:MM")</f>
        <v/>
      </c>
      <c r="E22" s="13">
        <f>TEXT(MOD(TIMEVALUE(E5)+37/1440,1),"HH:MM")</f>
        <v/>
      </c>
      <c r="F22" s="13">
        <f>TEXT(MOD(TIMEVALUE(F5)+37/1440,1),"HH:MM")</f>
        <v/>
      </c>
      <c r="G22" s="13">
        <f>TEXT(MOD(TIMEVALUE(G5)+37/1440,1),"HH:MM")</f>
        <v/>
      </c>
      <c r="H22" s="13">
        <f>TEXT(MOD(TIMEVALUE(H5)+37/1440,1),"HH:MM")</f>
        <v/>
      </c>
      <c r="I22" s="13">
        <f>TEXT(MOD(TIMEVALUE(I5)+37/1440,1),"HH:MM")</f>
        <v/>
      </c>
      <c r="J22" s="13">
        <f>TEXT(MOD(TIMEVALUE(J5)+37/1440,1),"HH:MM")</f>
        <v/>
      </c>
      <c r="K22" s="13">
        <f>TEXT(MOD(TIMEVALUE(K5)+37/1440,1),"HH:MM")</f>
        <v/>
      </c>
      <c r="L22" s="13">
        <f>TEXT(MOD(TIMEVALUE(L5)+37/1440,1),"HH:MM")</f>
        <v/>
      </c>
      <c r="M22" s="13">
        <f>TEXT(MOD(TIMEVALUE(M5)+37/1440,1),"HH:MM")</f>
        <v/>
      </c>
      <c r="N22" s="13">
        <f>TEXT(MOD(TIMEVALUE(N5)+37/1440,1),"HH:MM")</f>
        <v/>
      </c>
      <c r="O22" s="13">
        <f>TEXT(MOD(TIMEVALUE(O5)+37/1440,1),"HH:MM")</f>
        <v/>
      </c>
      <c r="P22" s="13">
        <f>TEXT(MOD(TIMEVALUE(P5)+37/1440,1),"HH:MM")</f>
        <v/>
      </c>
      <c r="Q22" s="13">
        <f>TEXT(MOD(TIMEVALUE(Q5)+37/1440,1),"HH:MM")</f>
        <v/>
      </c>
      <c r="R22" s="13">
        <f>TEXT(MOD(TIMEVALUE(R5)+37/1440,1),"HH:MM")</f>
        <v/>
      </c>
      <c r="S22" s="13">
        <f>TEXT(MOD(TIMEVALUE(S5)+37/1440,1),"HH:MM")</f>
        <v/>
      </c>
      <c r="T22" s="13">
        <f>TEXT(MOD(TIMEVALUE(T5)+37/1440,1),"HH:MM")</f>
        <v/>
      </c>
      <c r="U22" s="13">
        <f>TEXT(MOD(TIMEVALUE(U5)+37/1440,1),"HH:MM")</f>
        <v/>
      </c>
      <c r="V22" s="13">
        <f>TEXT(MOD(TIMEVALUE(V5)+37/1440,1),"HH:MM")</f>
        <v/>
      </c>
      <c r="W22" s="13">
        <f>TEXT(MOD(TIMEVALUE(W5)+37/1440,1),"HH:MM")</f>
        <v/>
      </c>
      <c r="X22" s="13">
        <f>TEXT(MOD(TIMEVALUE(X5)+37/1440,1),"HH:MM")</f>
        <v/>
      </c>
      <c r="Y22" s="13">
        <f>TEXT(MOD(TIMEVALUE(Y5)+37/1440,1),"HH:MM")</f>
        <v/>
      </c>
      <c r="Z22" s="13">
        <f>TEXT(MOD(TIMEVALUE(Z5)+37/1440,1),"HH:MM")</f>
        <v/>
      </c>
      <c r="AA22" s="13">
        <f>TEXT(MOD(TIMEVALUE(AA5)+37/1440,1),"HH:MM")</f>
        <v/>
      </c>
      <c r="AB22" s="13">
        <f>TEXT(MOD(TIMEVALUE(AB5)+37/1440,1),"HH:MM")</f>
        <v/>
      </c>
      <c r="AC22" s="13">
        <f>TEXT(MOD(TIMEVALUE(AC5)+37/1440,1),"HH:MM")</f>
        <v/>
      </c>
      <c r="AD22" s="13">
        <f>TEXT(MOD(TIMEVALUE(AD5)+37/1440,1),"HH:MM")</f>
        <v/>
      </c>
      <c r="AE22" s="13">
        <f>TEXT(MOD(TIMEVALUE(AE5)+37/1440,1),"HH:MM")</f>
        <v/>
      </c>
      <c r="AF22" s="13">
        <f>TEXT(MOD(TIMEVALUE(AF5)+37/1440,1),"HH:MM")</f>
        <v/>
      </c>
      <c r="AG22" s="13">
        <f>TEXT(MOD(TIMEVALUE(AG5)+37/1440,1),"HH:MM")</f>
        <v/>
      </c>
      <c r="AH22" s="13">
        <f>TEXT(MOD(TIMEVALUE(AH5)+37/1440,1),"HH:MM")</f>
        <v/>
      </c>
      <c r="AI22" s="13">
        <f>TEXT(MOD(TIMEVALUE(AI5)+37/1440,1),"HH:MM")</f>
        <v/>
      </c>
      <c r="AJ22" s="13">
        <f>TEXT(MOD(TIMEVALUE(AJ5)+37/1440,1),"HH:MM")</f>
        <v/>
      </c>
      <c r="AK22" s="13">
        <f>TEXT(MOD(TIMEVALUE(AK5)+37/1440,1),"HH:MM")</f>
        <v/>
      </c>
      <c r="AL22" s="13">
        <f>TEXT(MOD(TIMEVALUE(AL5)+37/1440,1),"HH:MM")</f>
        <v/>
      </c>
      <c r="AM22" s="13">
        <f>TEXT(MOD(TIMEVALUE(AM5)+37/1440,1),"HH:MM")</f>
        <v/>
      </c>
      <c r="AN22" s="13">
        <f>TEXT(MOD(TIMEVALUE(AN5)+37/1440,1),"HH:MM")</f>
        <v/>
      </c>
    </row>
    <row r="23" ht="16.5" customHeight="1" s="26">
      <c r="A23" s="14" t="inlineStr">
        <is>
          <t>El Libertador</t>
        </is>
      </c>
      <c r="B23" s="15">
        <f>TEXT(MOD(TIMEVALUE(B5)+38/1440,1),"HH:MM")</f>
        <v/>
      </c>
      <c r="C23" s="15">
        <f>TEXT(MOD(TIMEVALUE(C5)+38/1440,1),"HH:MM")</f>
        <v/>
      </c>
      <c r="D23" s="15">
        <f>TEXT(MOD(TIMEVALUE(D5)+38/1440,1),"HH:MM")</f>
        <v/>
      </c>
      <c r="E23" s="15">
        <f>TEXT(MOD(TIMEVALUE(E5)+38/1440,1),"HH:MM")</f>
        <v/>
      </c>
      <c r="F23" s="15">
        <f>TEXT(MOD(TIMEVALUE(F5)+38/1440,1),"HH:MM")</f>
        <v/>
      </c>
      <c r="G23" s="15">
        <f>TEXT(MOD(TIMEVALUE(G5)+38/1440,1),"HH:MM")</f>
        <v/>
      </c>
      <c r="H23" s="15">
        <f>TEXT(MOD(TIMEVALUE(H5)+38/1440,1),"HH:MM")</f>
        <v/>
      </c>
      <c r="I23" s="15">
        <f>TEXT(MOD(TIMEVALUE(I5)+38/1440,1),"HH:MM")</f>
        <v/>
      </c>
      <c r="J23" s="15">
        <f>TEXT(MOD(TIMEVALUE(J5)+38/1440,1),"HH:MM")</f>
        <v/>
      </c>
      <c r="K23" s="15">
        <f>TEXT(MOD(TIMEVALUE(K5)+38/1440,1),"HH:MM")</f>
        <v/>
      </c>
      <c r="L23" s="15">
        <f>TEXT(MOD(TIMEVALUE(L5)+38/1440,1),"HH:MM")</f>
        <v/>
      </c>
      <c r="M23" s="15">
        <f>TEXT(MOD(TIMEVALUE(M5)+38/1440,1),"HH:MM")</f>
        <v/>
      </c>
      <c r="N23" s="15">
        <f>TEXT(MOD(TIMEVALUE(N5)+38/1440,1),"HH:MM")</f>
        <v/>
      </c>
      <c r="O23" s="15">
        <f>TEXT(MOD(TIMEVALUE(O5)+38/1440,1),"HH:MM")</f>
        <v/>
      </c>
      <c r="P23" s="15">
        <f>TEXT(MOD(TIMEVALUE(P5)+38/1440,1),"HH:MM")</f>
        <v/>
      </c>
      <c r="Q23" s="15">
        <f>TEXT(MOD(TIMEVALUE(Q5)+38/1440,1),"HH:MM")</f>
        <v/>
      </c>
      <c r="R23" s="15">
        <f>TEXT(MOD(TIMEVALUE(R5)+38/1440,1),"HH:MM")</f>
        <v/>
      </c>
      <c r="S23" s="15">
        <f>TEXT(MOD(TIMEVALUE(S5)+38/1440,1),"HH:MM")</f>
        <v/>
      </c>
      <c r="T23" s="15">
        <f>TEXT(MOD(TIMEVALUE(T5)+38/1440,1),"HH:MM")</f>
        <v/>
      </c>
      <c r="U23" s="15">
        <f>TEXT(MOD(TIMEVALUE(U5)+38/1440,1),"HH:MM")</f>
        <v/>
      </c>
      <c r="V23" s="15">
        <f>TEXT(MOD(TIMEVALUE(V5)+38/1440,1),"HH:MM")</f>
        <v/>
      </c>
      <c r="W23" s="15">
        <f>TEXT(MOD(TIMEVALUE(W5)+38/1440,1),"HH:MM")</f>
        <v/>
      </c>
      <c r="X23" s="15">
        <f>TEXT(MOD(TIMEVALUE(X5)+38/1440,1),"HH:MM")</f>
        <v/>
      </c>
      <c r="Y23" s="15">
        <f>TEXT(MOD(TIMEVALUE(Y5)+38/1440,1),"HH:MM")</f>
        <v/>
      </c>
      <c r="Z23" s="15">
        <f>TEXT(MOD(TIMEVALUE(Z5)+38/1440,1),"HH:MM")</f>
        <v/>
      </c>
      <c r="AA23" s="15">
        <f>TEXT(MOD(TIMEVALUE(AA5)+38/1440,1),"HH:MM")</f>
        <v/>
      </c>
      <c r="AB23" s="15">
        <f>TEXT(MOD(TIMEVALUE(AB5)+38/1440,1),"HH:MM")</f>
        <v/>
      </c>
      <c r="AC23" s="15">
        <f>TEXT(MOD(TIMEVALUE(AC5)+38/1440,1),"HH:MM")</f>
        <v/>
      </c>
      <c r="AD23" s="15">
        <f>TEXT(MOD(TIMEVALUE(AD5)+38/1440,1),"HH:MM")</f>
        <v/>
      </c>
      <c r="AE23" s="15">
        <f>TEXT(MOD(TIMEVALUE(AE5)+38/1440,1),"HH:MM")</f>
        <v/>
      </c>
      <c r="AF23" s="15">
        <f>TEXT(MOD(TIMEVALUE(AF5)+38/1440,1),"HH:MM")</f>
        <v/>
      </c>
      <c r="AG23" s="15">
        <f>TEXT(MOD(TIMEVALUE(AG5)+38/1440,1),"HH:MM")</f>
        <v/>
      </c>
      <c r="AH23" s="15">
        <f>TEXT(MOD(TIMEVALUE(AH5)+38/1440,1),"HH:MM")</f>
        <v/>
      </c>
      <c r="AI23" s="15">
        <f>TEXT(MOD(TIMEVALUE(AI5)+38/1440,1),"HH:MM")</f>
        <v/>
      </c>
      <c r="AJ23" s="15">
        <f>TEXT(MOD(TIMEVALUE(AJ5)+38/1440,1),"HH:MM")</f>
        <v/>
      </c>
      <c r="AK23" s="15">
        <f>TEXT(MOD(TIMEVALUE(AK5)+38/1440,1),"HH:MM")</f>
        <v/>
      </c>
      <c r="AL23" s="15">
        <f>TEXT(MOD(TIMEVALUE(AL5)+38/1440,1),"HH:MM")</f>
        <v/>
      </c>
      <c r="AM23" s="15">
        <f>TEXT(MOD(TIMEVALUE(AM5)+38/1440,1),"HH:MM")</f>
        <v/>
      </c>
      <c r="AN23" s="15">
        <f>TEXT(MOD(TIMEVALUE(AN5)+38/1440,1),"HH:MM")</f>
        <v/>
      </c>
    </row>
    <row r="24" ht="16.5" customHeight="1" s="26">
      <c r="A24" s="12" t="inlineStr">
        <is>
          <t>Dr. Fco. Beiró</t>
        </is>
      </c>
      <c r="B24" s="13">
        <f>TEXT(MOD(TIMEVALUE(B5)+39/1440,1),"HH:MM")</f>
        <v/>
      </c>
      <c r="C24" s="13">
        <f>TEXT(MOD(TIMEVALUE(C5)+39/1440,1),"HH:MM")</f>
        <v/>
      </c>
      <c r="D24" s="13">
        <f>TEXT(MOD(TIMEVALUE(D5)+39/1440,1),"HH:MM")</f>
        <v/>
      </c>
      <c r="E24" s="13">
        <f>TEXT(MOD(TIMEVALUE(E5)+39/1440,1),"HH:MM")</f>
        <v/>
      </c>
      <c r="F24" s="13">
        <f>TEXT(MOD(TIMEVALUE(F5)+39/1440,1),"HH:MM")</f>
        <v/>
      </c>
      <c r="G24" s="13">
        <f>TEXT(MOD(TIMEVALUE(G5)+39/1440,1),"HH:MM")</f>
        <v/>
      </c>
      <c r="H24" s="13">
        <f>TEXT(MOD(TIMEVALUE(H5)+39/1440,1),"HH:MM")</f>
        <v/>
      </c>
      <c r="I24" s="13">
        <f>TEXT(MOD(TIMEVALUE(I5)+39/1440,1),"HH:MM")</f>
        <v/>
      </c>
      <c r="J24" s="13">
        <f>TEXT(MOD(TIMEVALUE(J5)+39/1440,1),"HH:MM")</f>
        <v/>
      </c>
      <c r="K24" s="13">
        <f>TEXT(MOD(TIMEVALUE(K5)+39/1440,1),"HH:MM")</f>
        <v/>
      </c>
      <c r="L24" s="13">
        <f>TEXT(MOD(TIMEVALUE(L5)+39/1440,1),"HH:MM")</f>
        <v/>
      </c>
      <c r="M24" s="13">
        <f>TEXT(MOD(TIMEVALUE(M5)+39/1440,1),"HH:MM")</f>
        <v/>
      </c>
      <c r="N24" s="13">
        <f>TEXT(MOD(TIMEVALUE(N5)+39/1440,1),"HH:MM")</f>
        <v/>
      </c>
      <c r="O24" s="13">
        <f>TEXT(MOD(TIMEVALUE(O5)+39/1440,1),"HH:MM")</f>
        <v/>
      </c>
      <c r="P24" s="13">
        <f>TEXT(MOD(TIMEVALUE(P5)+39/1440,1),"HH:MM")</f>
        <v/>
      </c>
      <c r="Q24" s="13">
        <f>TEXT(MOD(TIMEVALUE(Q5)+39/1440,1),"HH:MM")</f>
        <v/>
      </c>
      <c r="R24" s="13">
        <f>TEXT(MOD(TIMEVALUE(R5)+39/1440,1),"HH:MM")</f>
        <v/>
      </c>
      <c r="S24" s="13">
        <f>TEXT(MOD(TIMEVALUE(S5)+39/1440,1),"HH:MM")</f>
        <v/>
      </c>
      <c r="T24" s="13">
        <f>TEXT(MOD(TIMEVALUE(T5)+39/1440,1),"HH:MM")</f>
        <v/>
      </c>
      <c r="U24" s="13">
        <f>TEXT(MOD(TIMEVALUE(U5)+39/1440,1),"HH:MM")</f>
        <v/>
      </c>
      <c r="V24" s="13">
        <f>TEXT(MOD(TIMEVALUE(V5)+39/1440,1),"HH:MM")</f>
        <v/>
      </c>
      <c r="W24" s="13">
        <f>TEXT(MOD(TIMEVALUE(W5)+39/1440,1),"HH:MM")</f>
        <v/>
      </c>
      <c r="X24" s="13">
        <f>TEXT(MOD(TIMEVALUE(X5)+39/1440,1),"HH:MM")</f>
        <v/>
      </c>
      <c r="Y24" s="13">
        <f>TEXT(MOD(TIMEVALUE(Y5)+39/1440,1),"HH:MM")</f>
        <v/>
      </c>
      <c r="Z24" s="13">
        <f>TEXT(MOD(TIMEVALUE(Z5)+39/1440,1),"HH:MM")</f>
        <v/>
      </c>
      <c r="AA24" s="13">
        <f>TEXT(MOD(TIMEVALUE(AA5)+39/1440,1),"HH:MM")</f>
        <v/>
      </c>
      <c r="AB24" s="13">
        <f>TEXT(MOD(TIMEVALUE(AB5)+39/1440,1),"HH:MM")</f>
        <v/>
      </c>
      <c r="AC24" s="13">
        <f>TEXT(MOD(TIMEVALUE(AC5)+39/1440,1),"HH:MM")</f>
        <v/>
      </c>
      <c r="AD24" s="13">
        <f>TEXT(MOD(TIMEVALUE(AD5)+39/1440,1),"HH:MM")</f>
        <v/>
      </c>
      <c r="AE24" s="13">
        <f>TEXT(MOD(TIMEVALUE(AE5)+39/1440,1),"HH:MM")</f>
        <v/>
      </c>
      <c r="AF24" s="13">
        <f>TEXT(MOD(TIMEVALUE(AF5)+39/1440,1),"HH:MM")</f>
        <v/>
      </c>
      <c r="AG24" s="13">
        <f>TEXT(MOD(TIMEVALUE(AG5)+39/1440,1),"HH:MM")</f>
        <v/>
      </c>
      <c r="AH24" s="13">
        <f>TEXT(MOD(TIMEVALUE(AH5)+39/1440,1),"HH:MM")</f>
        <v/>
      </c>
      <c r="AI24" s="13">
        <f>TEXT(MOD(TIMEVALUE(AI5)+39/1440,1),"HH:MM")</f>
        <v/>
      </c>
      <c r="AJ24" s="13">
        <f>TEXT(MOD(TIMEVALUE(AJ5)+39/1440,1),"HH:MM")</f>
        <v/>
      </c>
      <c r="AK24" s="13">
        <f>TEXT(MOD(TIMEVALUE(AK5)+39/1440,1),"HH:MM")</f>
        <v/>
      </c>
      <c r="AL24" s="13">
        <f>TEXT(MOD(TIMEVALUE(AL5)+39/1440,1),"HH:MM")</f>
        <v/>
      </c>
      <c r="AM24" s="13">
        <f>TEXT(MOD(TIMEVALUE(AM5)+39/1440,1),"HH:MM")</f>
        <v/>
      </c>
      <c r="AN24" s="13">
        <f>TEXT(MOD(TIMEVALUE(AN5)+39/1440,1),"HH:MM")</f>
        <v/>
      </c>
    </row>
    <row r="25" ht="16.5" customHeight="1" s="26">
      <c r="A25" s="14" t="inlineStr">
        <is>
          <t>Pedro N. Arata</t>
        </is>
      </c>
      <c r="B25" s="15">
        <f>TEXT(MOD(TIMEVALUE(B5)+42/1440,1),"HH:MM")</f>
        <v/>
      </c>
      <c r="C25" s="15">
        <f>TEXT(MOD(TIMEVALUE(C5)+42/1440,1),"HH:MM")</f>
        <v/>
      </c>
      <c r="D25" s="15">
        <f>TEXT(MOD(TIMEVALUE(D5)+42/1440,1),"HH:MM")</f>
        <v/>
      </c>
      <c r="E25" s="15">
        <f>TEXT(MOD(TIMEVALUE(E5)+42/1440,1),"HH:MM")</f>
        <v/>
      </c>
      <c r="F25" s="15">
        <f>TEXT(MOD(TIMEVALUE(F5)+42/1440,1),"HH:MM")</f>
        <v/>
      </c>
      <c r="G25" s="15">
        <f>TEXT(MOD(TIMEVALUE(G5)+42/1440,1),"HH:MM")</f>
        <v/>
      </c>
      <c r="H25" s="15">
        <f>TEXT(MOD(TIMEVALUE(H5)+42/1440,1),"HH:MM")</f>
        <v/>
      </c>
      <c r="I25" s="15">
        <f>TEXT(MOD(TIMEVALUE(I5)+42/1440,1),"HH:MM")</f>
        <v/>
      </c>
      <c r="J25" s="15">
        <f>TEXT(MOD(TIMEVALUE(J5)+42/1440,1),"HH:MM")</f>
        <v/>
      </c>
      <c r="K25" s="15">
        <f>TEXT(MOD(TIMEVALUE(K5)+42/1440,1),"HH:MM")</f>
        <v/>
      </c>
      <c r="L25" s="15">
        <f>TEXT(MOD(TIMEVALUE(L5)+42/1440,1),"HH:MM")</f>
        <v/>
      </c>
      <c r="M25" s="15">
        <f>TEXT(MOD(TIMEVALUE(M5)+42/1440,1),"HH:MM")</f>
        <v/>
      </c>
      <c r="N25" s="15">
        <f>TEXT(MOD(TIMEVALUE(N5)+42/1440,1),"HH:MM")</f>
        <v/>
      </c>
      <c r="O25" s="15">
        <f>TEXT(MOD(TIMEVALUE(O5)+42/1440,1),"HH:MM")</f>
        <v/>
      </c>
      <c r="P25" s="15">
        <f>TEXT(MOD(TIMEVALUE(P5)+42/1440,1),"HH:MM")</f>
        <v/>
      </c>
      <c r="Q25" s="15">
        <f>TEXT(MOD(TIMEVALUE(Q5)+42/1440,1),"HH:MM")</f>
        <v/>
      </c>
      <c r="R25" s="15">
        <f>TEXT(MOD(TIMEVALUE(R5)+42/1440,1),"HH:MM")</f>
        <v/>
      </c>
      <c r="S25" s="15">
        <f>TEXT(MOD(TIMEVALUE(S5)+42/1440,1),"HH:MM")</f>
        <v/>
      </c>
      <c r="T25" s="15">
        <f>TEXT(MOD(TIMEVALUE(T5)+42/1440,1),"HH:MM")</f>
        <v/>
      </c>
      <c r="U25" s="15">
        <f>TEXT(MOD(TIMEVALUE(U5)+42/1440,1),"HH:MM")</f>
        <v/>
      </c>
      <c r="V25" s="15">
        <f>TEXT(MOD(TIMEVALUE(V5)+42/1440,1),"HH:MM")</f>
        <v/>
      </c>
      <c r="W25" s="15">
        <f>TEXT(MOD(TIMEVALUE(W5)+42/1440,1),"HH:MM")</f>
        <v/>
      </c>
      <c r="X25" s="15">
        <f>TEXT(MOD(TIMEVALUE(X5)+42/1440,1),"HH:MM")</f>
        <v/>
      </c>
      <c r="Y25" s="15">
        <f>TEXT(MOD(TIMEVALUE(Y5)+42/1440,1),"HH:MM")</f>
        <v/>
      </c>
      <c r="Z25" s="15">
        <f>TEXT(MOD(TIMEVALUE(Z5)+42/1440,1),"HH:MM")</f>
        <v/>
      </c>
      <c r="AA25" s="15">
        <f>TEXT(MOD(TIMEVALUE(AA5)+42/1440,1),"HH:MM")</f>
        <v/>
      </c>
      <c r="AB25" s="15">
        <f>TEXT(MOD(TIMEVALUE(AB5)+42/1440,1),"HH:MM")</f>
        <v/>
      </c>
      <c r="AC25" s="15">
        <f>TEXT(MOD(TIMEVALUE(AC5)+42/1440,1),"HH:MM")</f>
        <v/>
      </c>
      <c r="AD25" s="15">
        <f>TEXT(MOD(TIMEVALUE(AD5)+42/1440,1),"HH:MM")</f>
        <v/>
      </c>
      <c r="AE25" s="15">
        <f>TEXT(MOD(TIMEVALUE(AE5)+42/1440,1),"HH:MM")</f>
        <v/>
      </c>
      <c r="AF25" s="15">
        <f>TEXT(MOD(TIMEVALUE(AF5)+42/1440,1),"HH:MM")</f>
        <v/>
      </c>
      <c r="AG25" s="15">
        <f>TEXT(MOD(TIMEVALUE(AG5)+42/1440,1),"HH:MM")</f>
        <v/>
      </c>
      <c r="AH25" s="15">
        <f>TEXT(MOD(TIMEVALUE(AH5)+42/1440,1),"HH:MM")</f>
        <v/>
      </c>
      <c r="AI25" s="15">
        <f>TEXT(MOD(TIMEVALUE(AI5)+42/1440,1),"HH:MM")</f>
        <v/>
      </c>
      <c r="AJ25" s="15">
        <f>TEXT(MOD(TIMEVALUE(AJ5)+42/1440,1),"HH:MM")</f>
        <v/>
      </c>
      <c r="AK25" s="15">
        <f>TEXT(MOD(TIMEVALUE(AK5)+42/1440,1),"HH:MM")</f>
        <v/>
      </c>
      <c r="AL25" s="15">
        <f>TEXT(MOD(TIMEVALUE(AL5)+42/1440,1),"HH:MM")</f>
        <v/>
      </c>
      <c r="AM25" s="15">
        <f>TEXT(MOD(TIMEVALUE(AM5)+42/1440,1),"HH:MM")</f>
        <v/>
      </c>
      <c r="AN25" s="15">
        <f>TEXT(MOD(TIMEVALUE(AN5)+42/1440,1),"HH:MM")</f>
        <v/>
      </c>
    </row>
    <row r="26" ht="16.5" customHeight="1" s="26">
      <c r="A26" s="12" t="inlineStr">
        <is>
          <t>José Artigas</t>
        </is>
      </c>
      <c r="B26" s="13">
        <f>TEXT(MOD(TIMEVALUE(B5)+44/1440,1),"HH:MM")</f>
        <v/>
      </c>
      <c r="C26" s="13">
        <f>TEXT(MOD(TIMEVALUE(C5)+44/1440,1),"HH:MM")</f>
        <v/>
      </c>
      <c r="D26" s="13">
        <f>TEXT(MOD(TIMEVALUE(D5)+44/1440,1),"HH:MM")</f>
        <v/>
      </c>
      <c r="E26" s="13">
        <f>TEXT(MOD(TIMEVALUE(E5)+44/1440,1),"HH:MM")</f>
        <v/>
      </c>
      <c r="F26" s="13">
        <f>TEXT(MOD(TIMEVALUE(F5)+44/1440,1),"HH:MM")</f>
        <v/>
      </c>
      <c r="G26" s="13">
        <f>TEXT(MOD(TIMEVALUE(G5)+44/1440,1),"HH:MM")</f>
        <v/>
      </c>
      <c r="H26" s="13">
        <f>TEXT(MOD(TIMEVALUE(H5)+44/1440,1),"HH:MM")</f>
        <v/>
      </c>
      <c r="I26" s="13">
        <f>TEXT(MOD(TIMEVALUE(I5)+44/1440,1),"HH:MM")</f>
        <v/>
      </c>
      <c r="J26" s="13">
        <f>TEXT(MOD(TIMEVALUE(J5)+44/1440,1),"HH:MM")</f>
        <v/>
      </c>
      <c r="K26" s="13">
        <f>TEXT(MOD(TIMEVALUE(K5)+44/1440,1),"HH:MM")</f>
        <v/>
      </c>
      <c r="L26" s="13">
        <f>TEXT(MOD(TIMEVALUE(L5)+44/1440,1),"HH:MM")</f>
        <v/>
      </c>
      <c r="M26" s="13">
        <f>TEXT(MOD(TIMEVALUE(M5)+44/1440,1),"HH:MM")</f>
        <v/>
      </c>
      <c r="N26" s="13">
        <f>TEXT(MOD(TIMEVALUE(N5)+44/1440,1),"HH:MM")</f>
        <v/>
      </c>
      <c r="O26" s="13">
        <f>TEXT(MOD(TIMEVALUE(O5)+44/1440,1),"HH:MM")</f>
        <v/>
      </c>
      <c r="P26" s="13">
        <f>TEXT(MOD(TIMEVALUE(P5)+44/1440,1),"HH:MM")</f>
        <v/>
      </c>
      <c r="Q26" s="13">
        <f>TEXT(MOD(TIMEVALUE(Q5)+44/1440,1),"HH:MM")</f>
        <v/>
      </c>
      <c r="R26" s="13">
        <f>TEXT(MOD(TIMEVALUE(R5)+44/1440,1),"HH:MM")</f>
        <v/>
      </c>
      <c r="S26" s="13">
        <f>TEXT(MOD(TIMEVALUE(S5)+44/1440,1),"HH:MM")</f>
        <v/>
      </c>
      <c r="T26" s="13">
        <f>TEXT(MOD(TIMEVALUE(T5)+44/1440,1),"HH:MM")</f>
        <v/>
      </c>
      <c r="U26" s="13">
        <f>TEXT(MOD(TIMEVALUE(U5)+44/1440,1),"HH:MM")</f>
        <v/>
      </c>
      <c r="V26" s="13">
        <f>TEXT(MOD(TIMEVALUE(V5)+44/1440,1),"HH:MM")</f>
        <v/>
      </c>
      <c r="W26" s="13">
        <f>TEXT(MOD(TIMEVALUE(W5)+44/1440,1),"HH:MM")</f>
        <v/>
      </c>
      <c r="X26" s="13">
        <f>TEXT(MOD(TIMEVALUE(X5)+44/1440,1),"HH:MM")</f>
        <v/>
      </c>
      <c r="Y26" s="13">
        <f>TEXT(MOD(TIMEVALUE(Y5)+44/1440,1),"HH:MM")</f>
        <v/>
      </c>
      <c r="Z26" s="13">
        <f>TEXT(MOD(TIMEVALUE(Z5)+44/1440,1),"HH:MM")</f>
        <v/>
      </c>
      <c r="AA26" s="13">
        <f>TEXT(MOD(TIMEVALUE(AA5)+44/1440,1),"HH:MM")</f>
        <v/>
      </c>
      <c r="AB26" s="13">
        <f>TEXT(MOD(TIMEVALUE(AB5)+44/1440,1),"HH:MM")</f>
        <v/>
      </c>
      <c r="AC26" s="13">
        <f>TEXT(MOD(TIMEVALUE(AC5)+44/1440,1),"HH:MM")</f>
        <v/>
      </c>
      <c r="AD26" s="13">
        <f>TEXT(MOD(TIMEVALUE(AD5)+44/1440,1),"HH:MM")</f>
        <v/>
      </c>
      <c r="AE26" s="13">
        <f>TEXT(MOD(TIMEVALUE(AE5)+44/1440,1),"HH:MM")</f>
        <v/>
      </c>
      <c r="AF26" s="13">
        <f>TEXT(MOD(TIMEVALUE(AF5)+44/1440,1),"HH:MM")</f>
        <v/>
      </c>
      <c r="AG26" s="13">
        <f>TEXT(MOD(TIMEVALUE(AG5)+44/1440,1),"HH:MM")</f>
        <v/>
      </c>
      <c r="AH26" s="13">
        <f>TEXT(MOD(TIMEVALUE(AH5)+44/1440,1),"HH:MM")</f>
        <v/>
      </c>
      <c r="AI26" s="13">
        <f>TEXT(MOD(TIMEVALUE(AI5)+44/1440,1),"HH:MM")</f>
        <v/>
      </c>
      <c r="AJ26" s="13">
        <f>TEXT(MOD(TIMEVALUE(AJ5)+44/1440,1),"HH:MM")</f>
        <v/>
      </c>
      <c r="AK26" s="13">
        <f>TEXT(MOD(TIMEVALUE(AK5)+44/1440,1),"HH:MM")</f>
        <v/>
      </c>
      <c r="AL26" s="13">
        <f>TEXT(MOD(TIMEVALUE(AL5)+44/1440,1),"HH:MM")</f>
        <v/>
      </c>
      <c r="AM26" s="13">
        <f>TEXT(MOD(TIMEVALUE(AM5)+44/1440,1),"HH:MM")</f>
        <v/>
      </c>
      <c r="AN26" s="13">
        <f>TEXT(MOD(TIMEVALUE(AN5)+44/1440,1),"HH:MM")</f>
        <v/>
      </c>
    </row>
    <row r="27" ht="16.5" customHeight="1" s="26">
      <c r="A27" s="14" t="inlineStr">
        <is>
          <t>Federico Lacroze</t>
        </is>
      </c>
      <c r="B27" s="15">
        <f>TEXT(MOD(TIMEVALUE(B5)+49/1440,1),"HH:MM")</f>
        <v/>
      </c>
      <c r="C27" s="15">
        <f>TEXT(MOD(TIMEVALUE(C5)+49/1440,1),"HH:MM")</f>
        <v/>
      </c>
      <c r="D27" s="15">
        <f>TEXT(MOD(TIMEVALUE(D5)+49/1440,1),"HH:MM")</f>
        <v/>
      </c>
      <c r="E27" s="15">
        <f>TEXT(MOD(TIMEVALUE(E5)+49/1440,1),"HH:MM")</f>
        <v/>
      </c>
      <c r="F27" s="15">
        <f>TEXT(MOD(TIMEVALUE(F5)+49/1440,1),"HH:MM")</f>
        <v/>
      </c>
      <c r="G27" s="15">
        <f>TEXT(MOD(TIMEVALUE(G5)+49/1440,1),"HH:MM")</f>
        <v/>
      </c>
      <c r="H27" s="15">
        <f>TEXT(MOD(TIMEVALUE(H5)+49/1440,1),"HH:MM")</f>
        <v/>
      </c>
      <c r="I27" s="15">
        <f>TEXT(MOD(TIMEVALUE(I5)+49/1440,1),"HH:MM")</f>
        <v/>
      </c>
      <c r="J27" s="15">
        <f>TEXT(MOD(TIMEVALUE(J5)+49/1440,1),"HH:MM")</f>
        <v/>
      </c>
      <c r="K27" s="15">
        <f>TEXT(MOD(TIMEVALUE(K5)+49/1440,1),"HH:MM")</f>
        <v/>
      </c>
      <c r="L27" s="15">
        <f>TEXT(MOD(TIMEVALUE(L5)+49/1440,1),"HH:MM")</f>
        <v/>
      </c>
      <c r="M27" s="15">
        <f>TEXT(MOD(TIMEVALUE(M5)+49/1440,1),"HH:MM")</f>
        <v/>
      </c>
      <c r="N27" s="15">
        <f>TEXT(MOD(TIMEVALUE(N5)+49/1440,1),"HH:MM")</f>
        <v/>
      </c>
      <c r="O27" s="15">
        <f>TEXT(MOD(TIMEVALUE(O5)+49/1440,1),"HH:MM")</f>
        <v/>
      </c>
      <c r="P27" s="15">
        <f>TEXT(MOD(TIMEVALUE(P5)+49/1440,1),"HH:MM")</f>
        <v/>
      </c>
      <c r="Q27" s="15">
        <f>TEXT(MOD(TIMEVALUE(Q5)+49/1440,1),"HH:MM")</f>
        <v/>
      </c>
      <c r="R27" s="15">
        <f>TEXT(MOD(TIMEVALUE(R5)+49/1440,1),"HH:MM")</f>
        <v/>
      </c>
      <c r="S27" s="15">
        <f>TEXT(MOD(TIMEVALUE(S5)+49/1440,1),"HH:MM")</f>
        <v/>
      </c>
      <c r="T27" s="15">
        <f>TEXT(MOD(TIMEVALUE(T5)+49/1440,1),"HH:MM")</f>
        <v/>
      </c>
      <c r="U27" s="15">
        <f>TEXT(MOD(TIMEVALUE(U5)+49/1440,1),"HH:MM")</f>
        <v/>
      </c>
      <c r="V27" s="15">
        <f>TEXT(MOD(TIMEVALUE(V5)+49/1440,1),"HH:MM")</f>
        <v/>
      </c>
      <c r="W27" s="15">
        <f>TEXT(MOD(TIMEVALUE(W5)+49/1440,1),"HH:MM")</f>
        <v/>
      </c>
      <c r="X27" s="15">
        <f>TEXT(MOD(TIMEVALUE(X5)+49/1440,1),"HH:MM")</f>
        <v/>
      </c>
      <c r="Y27" s="15">
        <f>TEXT(MOD(TIMEVALUE(Y5)+49/1440,1),"HH:MM")</f>
        <v/>
      </c>
      <c r="Z27" s="15">
        <f>TEXT(MOD(TIMEVALUE(Z5)+49/1440,1),"HH:MM")</f>
        <v/>
      </c>
      <c r="AA27" s="15">
        <f>TEXT(MOD(TIMEVALUE(AA5)+49/1440,1),"HH:MM")</f>
        <v/>
      </c>
      <c r="AB27" s="15">
        <f>TEXT(MOD(TIMEVALUE(AB5)+49/1440,1),"HH:MM")</f>
        <v/>
      </c>
      <c r="AC27" s="15">
        <f>TEXT(MOD(TIMEVALUE(AC5)+49/1440,1),"HH:MM")</f>
        <v/>
      </c>
      <c r="AD27" s="15">
        <f>TEXT(MOD(TIMEVALUE(AD5)+49/1440,1),"HH:MM")</f>
        <v/>
      </c>
      <c r="AE27" s="15">
        <f>TEXT(MOD(TIMEVALUE(AE5)+49/1440,1),"HH:MM")</f>
        <v/>
      </c>
      <c r="AF27" s="15">
        <f>TEXT(MOD(TIMEVALUE(AF5)+49/1440,1),"HH:MM")</f>
        <v/>
      </c>
      <c r="AG27" s="15">
        <f>TEXT(MOD(TIMEVALUE(AG5)+49/1440,1),"HH:MM")</f>
        <v/>
      </c>
      <c r="AH27" s="15">
        <f>TEXT(MOD(TIMEVALUE(AH5)+49/1440,1),"HH:MM")</f>
        <v/>
      </c>
      <c r="AI27" s="15">
        <f>TEXT(MOD(TIMEVALUE(AI5)+49/1440,1),"HH:MM")</f>
        <v/>
      </c>
      <c r="AJ27" s="15">
        <f>TEXT(MOD(TIMEVALUE(AJ5)+49/1440,1),"HH:MM")</f>
        <v/>
      </c>
      <c r="AK27" s="15">
        <f>TEXT(MOD(TIMEVALUE(AK5)+49/1440,1),"HH:MM")</f>
        <v/>
      </c>
      <c r="AL27" s="15">
        <f>TEXT(MOD(TIMEVALUE(AL5)+49/1440,1),"HH:MM")</f>
        <v/>
      </c>
      <c r="AM27" s="15">
        <f>TEXT(MOD(TIMEVALUE(AM5)+49/1440,1),"HH:MM")</f>
        <v/>
      </c>
      <c r="AN27" s="15">
        <f>TEXT(MOD(TIMEVALUE(AN5)+49/1440,1),"HH:MM")</f>
        <v/>
      </c>
    </row>
    <row r="28" ht="15.75" customHeight="1" s="26"/>
    <row r="29" ht="15.75" customHeight="1" s="26">
      <c r="A29" s="16" t="inlineStr">
        <is>
          <t>Fuente: Horario Mural Invierno 2026, Metrovías — metrovias.com.ar  |  Modificar la hora de salida en la fila de la estación de origen para recalcular todo el recorrido.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</row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M29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4.43" defaultRowHeight="15" customHeight="1"/>
  <cols>
    <col width="24" customWidth="1" style="26" min="1" max="1"/>
    <col width="7" customWidth="1" style="26" min="2" max="39"/>
  </cols>
  <sheetData>
    <row r="1" ht="27.75" customHeight="1" s="26">
      <c r="A1" s="1" t="inlineStr">
        <is>
          <t>Tren Urquiza — Feriados → Lacroze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3" t="n"/>
    </row>
    <row r="2" ht="15.75" customHeight="1" s="26">
      <c r="A2" s="4" t="inlineStr">
        <is>
          <t>Salida desde General Lemos  |  Horario Mural Invierno 2026 — Metrovías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6" t="n"/>
    </row>
    <row r="3" ht="4.5" customHeight="1" s="26"/>
    <row r="4" ht="19.5" customHeight="1" s="26">
      <c r="A4" s="7" t="inlineStr">
        <is>
          <t>Estación</t>
        </is>
      </c>
      <c r="B4" s="9" t="inlineStr">
        <is>
          <t>03:12</t>
        </is>
      </c>
      <c r="C4" s="9" t="inlineStr">
        <is>
          <t>04:15</t>
        </is>
      </c>
      <c r="D4" s="9" t="inlineStr">
        <is>
          <t>05:30</t>
        </is>
      </c>
      <c r="E4" s="9" t="inlineStr">
        <is>
          <t>06:20</t>
        </is>
      </c>
      <c r="F4" s="9" t="inlineStr">
        <is>
          <t>06:55</t>
        </is>
      </c>
      <c r="G4" s="9" t="inlineStr">
        <is>
          <t>07:25</t>
        </is>
      </c>
      <c r="H4" s="9" t="inlineStr">
        <is>
          <t>07:55</t>
        </is>
      </c>
      <c r="I4" s="9" t="inlineStr">
        <is>
          <t>08:25</t>
        </is>
      </c>
      <c r="J4" s="9" t="inlineStr">
        <is>
          <t>08:55</t>
        </is>
      </c>
      <c r="K4" s="9" t="inlineStr">
        <is>
          <t>09:25</t>
        </is>
      </c>
      <c r="L4" s="9" t="inlineStr">
        <is>
          <t>09:55</t>
        </is>
      </c>
      <c r="M4" s="9" t="inlineStr">
        <is>
          <t>10:25</t>
        </is>
      </c>
      <c r="N4" s="9" t="inlineStr">
        <is>
          <t>10:55</t>
        </is>
      </c>
      <c r="O4" s="9" t="inlineStr">
        <is>
          <t>11:25</t>
        </is>
      </c>
      <c r="P4" s="9" t="inlineStr">
        <is>
          <t>11:55</t>
        </is>
      </c>
      <c r="Q4" s="9" t="inlineStr">
        <is>
          <t>12:25</t>
        </is>
      </c>
      <c r="R4" s="9" t="inlineStr">
        <is>
          <t>12:55</t>
        </is>
      </c>
      <c r="S4" s="9" t="inlineStr">
        <is>
          <t>13:25</t>
        </is>
      </c>
      <c r="T4" s="9" t="inlineStr">
        <is>
          <t>13:55</t>
        </is>
      </c>
      <c r="U4" s="9" t="inlineStr">
        <is>
          <t>14:25</t>
        </is>
      </c>
      <c r="V4" s="9" t="inlineStr">
        <is>
          <t>14:55</t>
        </is>
      </c>
      <c r="W4" s="9" t="inlineStr">
        <is>
          <t>15:25</t>
        </is>
      </c>
      <c r="X4" s="9" t="inlineStr">
        <is>
          <t>15:55</t>
        </is>
      </c>
      <c r="Y4" s="9" t="inlineStr">
        <is>
          <t>16:25</t>
        </is>
      </c>
      <c r="Z4" s="9" t="inlineStr">
        <is>
          <t>16:55</t>
        </is>
      </c>
      <c r="AA4" s="9" t="inlineStr">
        <is>
          <t>17:25</t>
        </is>
      </c>
      <c r="AB4" s="9" t="inlineStr">
        <is>
          <t>17:55</t>
        </is>
      </c>
      <c r="AC4" s="9" t="inlineStr">
        <is>
          <t>18:25</t>
        </is>
      </c>
      <c r="AD4" s="9" t="inlineStr">
        <is>
          <t>18:55</t>
        </is>
      </c>
      <c r="AE4" s="9" t="inlineStr">
        <is>
          <t>19:25</t>
        </is>
      </c>
      <c r="AF4" s="9" t="inlineStr">
        <is>
          <t>19:55</t>
        </is>
      </c>
      <c r="AG4" s="9" t="inlineStr">
        <is>
          <t>20:25</t>
        </is>
      </c>
      <c r="AH4" s="9" t="inlineStr">
        <is>
          <t>20:55</t>
        </is>
      </c>
      <c r="AI4" s="9" t="inlineStr">
        <is>
          <t>21:25</t>
        </is>
      </c>
      <c r="AJ4" s="9" t="inlineStr">
        <is>
          <t>21:55</t>
        </is>
      </c>
      <c r="AK4" s="9" t="inlineStr">
        <is>
          <t>22:25</t>
        </is>
      </c>
      <c r="AL4" s="9" t="inlineStr">
        <is>
          <t>22:55</t>
        </is>
      </c>
      <c r="AM4" s="9" t="inlineStr">
        <is>
          <t>23:35</t>
        </is>
      </c>
    </row>
    <row r="5" ht="16.5" customHeight="1" s="26">
      <c r="A5" s="10" t="inlineStr">
        <is>
          <t>General Lemos</t>
        </is>
      </c>
      <c r="B5" s="11" t="inlineStr">
        <is>
          <t>03:12</t>
        </is>
      </c>
      <c r="C5" s="11" t="inlineStr">
        <is>
          <t>04:15</t>
        </is>
      </c>
      <c r="D5" s="11" t="inlineStr">
        <is>
          <t>05:30</t>
        </is>
      </c>
      <c r="E5" s="11" t="inlineStr">
        <is>
          <t>06:20</t>
        </is>
      </c>
      <c r="F5" s="11" t="inlineStr">
        <is>
          <t>06:55</t>
        </is>
      </c>
      <c r="G5" s="11" t="inlineStr">
        <is>
          <t>07:25</t>
        </is>
      </c>
      <c r="H5" s="11" t="inlineStr">
        <is>
          <t>07:55</t>
        </is>
      </c>
      <c r="I5" s="11" t="inlineStr">
        <is>
          <t>08:25</t>
        </is>
      </c>
      <c r="J5" s="11" t="inlineStr">
        <is>
          <t>08:55</t>
        </is>
      </c>
      <c r="K5" s="11" t="inlineStr">
        <is>
          <t>09:25</t>
        </is>
      </c>
      <c r="L5" s="11" t="inlineStr">
        <is>
          <t>09:55</t>
        </is>
      </c>
      <c r="M5" s="11" t="inlineStr">
        <is>
          <t>10:25</t>
        </is>
      </c>
      <c r="N5" s="11" t="inlineStr">
        <is>
          <t>10:55</t>
        </is>
      </c>
      <c r="O5" s="11" t="inlineStr">
        <is>
          <t>11:25</t>
        </is>
      </c>
      <c r="P5" s="11" t="inlineStr">
        <is>
          <t>11:55</t>
        </is>
      </c>
      <c r="Q5" s="11" t="inlineStr">
        <is>
          <t>12:25</t>
        </is>
      </c>
      <c r="R5" s="11" t="inlineStr">
        <is>
          <t>12:55</t>
        </is>
      </c>
      <c r="S5" s="11" t="inlineStr">
        <is>
          <t>13:25</t>
        </is>
      </c>
      <c r="T5" s="11" t="inlineStr">
        <is>
          <t>13:55</t>
        </is>
      </c>
      <c r="U5" s="11" t="inlineStr">
        <is>
          <t>14:25</t>
        </is>
      </c>
      <c r="V5" s="11" t="inlineStr">
        <is>
          <t>14:55</t>
        </is>
      </c>
      <c r="W5" s="11" t="inlineStr">
        <is>
          <t>15:25</t>
        </is>
      </c>
      <c r="X5" s="11" t="inlineStr">
        <is>
          <t>15:55</t>
        </is>
      </c>
      <c r="Y5" s="11" t="inlineStr">
        <is>
          <t>16:25</t>
        </is>
      </c>
      <c r="Z5" s="11" t="inlineStr">
        <is>
          <t>16:55</t>
        </is>
      </c>
      <c r="AA5" s="11" t="inlineStr">
        <is>
          <t>17:25</t>
        </is>
      </c>
      <c r="AB5" s="11" t="inlineStr">
        <is>
          <t>17:55</t>
        </is>
      </c>
      <c r="AC5" s="11" t="inlineStr">
        <is>
          <t>18:25</t>
        </is>
      </c>
      <c r="AD5" s="11" t="inlineStr">
        <is>
          <t>18:55</t>
        </is>
      </c>
      <c r="AE5" s="11" t="inlineStr">
        <is>
          <t>19:25</t>
        </is>
      </c>
      <c r="AF5" s="11" t="inlineStr">
        <is>
          <t>19:55</t>
        </is>
      </c>
      <c r="AG5" s="11" t="inlineStr">
        <is>
          <t>20:25</t>
        </is>
      </c>
      <c r="AH5" s="11" t="inlineStr">
        <is>
          <t>20:55</t>
        </is>
      </c>
      <c r="AI5" s="11" t="inlineStr">
        <is>
          <t>21:25</t>
        </is>
      </c>
      <c r="AJ5" s="11" t="inlineStr">
        <is>
          <t>21:55</t>
        </is>
      </c>
      <c r="AK5" s="11" t="inlineStr">
        <is>
          <t>22:25</t>
        </is>
      </c>
      <c r="AL5" s="11" t="inlineStr">
        <is>
          <t>22:55</t>
        </is>
      </c>
      <c r="AM5" s="11" t="inlineStr">
        <is>
          <t>23:35</t>
        </is>
      </c>
    </row>
    <row r="6" ht="16.5" customHeight="1" s="26">
      <c r="A6" s="12" t="inlineStr">
        <is>
          <t>Sargento Cabral</t>
        </is>
      </c>
      <c r="B6" s="13">
        <f>TEXT(MOD(TIMEVALUE(B5)+2/1440,1),"HH:MM")</f>
        <v/>
      </c>
      <c r="C6" s="13">
        <f>TEXT(MOD(TIMEVALUE(C5)+2/1440,1),"HH:MM")</f>
        <v/>
      </c>
      <c r="D6" s="13">
        <f>TEXT(MOD(TIMEVALUE(D5)+2/1440,1),"HH:MM")</f>
        <v/>
      </c>
      <c r="E6" s="13">
        <f>TEXT(MOD(TIMEVALUE(E5)+2/1440,1),"HH:MM")</f>
        <v/>
      </c>
      <c r="F6" s="13">
        <f>TEXT(MOD(TIMEVALUE(F5)+2/1440,1),"HH:MM")</f>
        <v/>
      </c>
      <c r="G6" s="13">
        <f>TEXT(MOD(TIMEVALUE(G5)+2/1440,1),"HH:MM")</f>
        <v/>
      </c>
      <c r="H6" s="13">
        <f>TEXT(MOD(TIMEVALUE(H5)+2/1440,1),"HH:MM")</f>
        <v/>
      </c>
      <c r="I6" s="13">
        <f>TEXT(MOD(TIMEVALUE(I5)+2/1440,1),"HH:MM")</f>
        <v/>
      </c>
      <c r="J6" s="13">
        <f>TEXT(MOD(TIMEVALUE(J5)+2/1440,1),"HH:MM")</f>
        <v/>
      </c>
      <c r="K6" s="13">
        <f>TEXT(MOD(TIMEVALUE(K5)+2/1440,1),"HH:MM")</f>
        <v/>
      </c>
      <c r="L6" s="13">
        <f>TEXT(MOD(TIMEVALUE(L5)+2/1440,1),"HH:MM")</f>
        <v/>
      </c>
      <c r="M6" s="13">
        <f>TEXT(MOD(TIMEVALUE(M5)+2/1440,1),"HH:MM")</f>
        <v/>
      </c>
      <c r="N6" s="13">
        <f>TEXT(MOD(TIMEVALUE(N5)+2/1440,1),"HH:MM")</f>
        <v/>
      </c>
      <c r="O6" s="13">
        <f>TEXT(MOD(TIMEVALUE(O5)+2/1440,1),"HH:MM")</f>
        <v/>
      </c>
      <c r="P6" s="13">
        <f>TEXT(MOD(TIMEVALUE(P5)+2/1440,1),"HH:MM")</f>
        <v/>
      </c>
      <c r="Q6" s="13">
        <f>TEXT(MOD(TIMEVALUE(Q5)+2/1440,1),"HH:MM")</f>
        <v/>
      </c>
      <c r="R6" s="13">
        <f>TEXT(MOD(TIMEVALUE(R5)+2/1440,1),"HH:MM")</f>
        <v/>
      </c>
      <c r="S6" s="13">
        <f>TEXT(MOD(TIMEVALUE(S5)+2/1440,1),"HH:MM")</f>
        <v/>
      </c>
      <c r="T6" s="13">
        <f>TEXT(MOD(TIMEVALUE(T5)+2/1440,1),"HH:MM")</f>
        <v/>
      </c>
      <c r="U6" s="13">
        <f>TEXT(MOD(TIMEVALUE(U5)+2/1440,1),"HH:MM")</f>
        <v/>
      </c>
      <c r="V6" s="13">
        <f>TEXT(MOD(TIMEVALUE(V5)+2/1440,1),"HH:MM")</f>
        <v/>
      </c>
      <c r="W6" s="13">
        <f>TEXT(MOD(TIMEVALUE(W5)+2/1440,1),"HH:MM")</f>
        <v/>
      </c>
      <c r="X6" s="13">
        <f>TEXT(MOD(TIMEVALUE(X5)+2/1440,1),"HH:MM")</f>
        <v/>
      </c>
      <c r="Y6" s="13">
        <f>TEXT(MOD(TIMEVALUE(Y5)+2/1440,1),"HH:MM")</f>
        <v/>
      </c>
      <c r="Z6" s="13">
        <f>TEXT(MOD(TIMEVALUE(Z5)+2/1440,1),"HH:MM")</f>
        <v/>
      </c>
      <c r="AA6" s="13">
        <f>TEXT(MOD(TIMEVALUE(AA5)+2/1440,1),"HH:MM")</f>
        <v/>
      </c>
      <c r="AB6" s="13">
        <f>TEXT(MOD(TIMEVALUE(AB5)+2/1440,1),"HH:MM")</f>
        <v/>
      </c>
      <c r="AC6" s="13">
        <f>TEXT(MOD(TIMEVALUE(AC5)+2/1440,1),"HH:MM")</f>
        <v/>
      </c>
      <c r="AD6" s="13">
        <f>TEXT(MOD(TIMEVALUE(AD5)+2/1440,1),"HH:MM")</f>
        <v/>
      </c>
      <c r="AE6" s="13">
        <f>TEXT(MOD(TIMEVALUE(AE5)+2/1440,1),"HH:MM")</f>
        <v/>
      </c>
      <c r="AF6" s="13">
        <f>TEXT(MOD(TIMEVALUE(AF5)+2/1440,1),"HH:MM")</f>
        <v/>
      </c>
      <c r="AG6" s="13">
        <f>TEXT(MOD(TIMEVALUE(AG5)+2/1440,1),"HH:MM")</f>
        <v/>
      </c>
      <c r="AH6" s="13">
        <f>TEXT(MOD(TIMEVALUE(AH5)+2/1440,1),"HH:MM")</f>
        <v/>
      </c>
      <c r="AI6" s="13">
        <f>TEXT(MOD(TIMEVALUE(AI5)+2/1440,1),"HH:MM")</f>
        <v/>
      </c>
      <c r="AJ6" s="13">
        <f>TEXT(MOD(TIMEVALUE(AJ5)+2/1440,1),"HH:MM")</f>
        <v/>
      </c>
      <c r="AK6" s="13">
        <f>TEXT(MOD(TIMEVALUE(AK5)+2/1440,1),"HH:MM")</f>
        <v/>
      </c>
      <c r="AL6" s="13">
        <f>TEXT(MOD(TIMEVALUE(AL5)+2/1440,1),"HH:MM")</f>
        <v/>
      </c>
      <c r="AM6" s="13">
        <f>TEXT(MOD(TIMEVALUE(AM5)+2/1440,1),"HH:MM")</f>
        <v/>
      </c>
    </row>
    <row r="7" ht="16.5" customHeight="1" s="26">
      <c r="A7" s="14" t="inlineStr">
        <is>
          <t>Campo de Mayo</t>
        </is>
      </c>
      <c r="B7" s="15">
        <f>TEXT(MOD(TIMEVALUE(B5)+4/1440,1),"HH:MM")</f>
        <v/>
      </c>
      <c r="C7" s="15">
        <f>TEXT(MOD(TIMEVALUE(C5)+4/1440,1),"HH:MM")</f>
        <v/>
      </c>
      <c r="D7" s="15">
        <f>TEXT(MOD(TIMEVALUE(D5)+4/1440,1),"HH:MM")</f>
        <v/>
      </c>
      <c r="E7" s="15">
        <f>TEXT(MOD(TIMEVALUE(E5)+4/1440,1),"HH:MM")</f>
        <v/>
      </c>
      <c r="F7" s="15">
        <f>TEXT(MOD(TIMEVALUE(F5)+4/1440,1),"HH:MM")</f>
        <v/>
      </c>
      <c r="G7" s="15">
        <f>TEXT(MOD(TIMEVALUE(G5)+4/1440,1),"HH:MM")</f>
        <v/>
      </c>
      <c r="H7" s="15">
        <f>TEXT(MOD(TIMEVALUE(H5)+4/1440,1),"HH:MM")</f>
        <v/>
      </c>
      <c r="I7" s="15">
        <f>TEXT(MOD(TIMEVALUE(I5)+4/1440,1),"HH:MM")</f>
        <v/>
      </c>
      <c r="J7" s="15">
        <f>TEXT(MOD(TIMEVALUE(J5)+4/1440,1),"HH:MM")</f>
        <v/>
      </c>
      <c r="K7" s="15">
        <f>TEXT(MOD(TIMEVALUE(K5)+4/1440,1),"HH:MM")</f>
        <v/>
      </c>
      <c r="L7" s="15">
        <f>TEXT(MOD(TIMEVALUE(L5)+4/1440,1),"HH:MM")</f>
        <v/>
      </c>
      <c r="M7" s="15">
        <f>TEXT(MOD(TIMEVALUE(M5)+4/1440,1),"HH:MM")</f>
        <v/>
      </c>
      <c r="N7" s="15">
        <f>TEXT(MOD(TIMEVALUE(N5)+4/1440,1),"HH:MM")</f>
        <v/>
      </c>
      <c r="O7" s="15">
        <f>TEXT(MOD(TIMEVALUE(O5)+4/1440,1),"HH:MM")</f>
        <v/>
      </c>
      <c r="P7" s="15">
        <f>TEXT(MOD(TIMEVALUE(P5)+4/1440,1),"HH:MM")</f>
        <v/>
      </c>
      <c r="Q7" s="15">
        <f>TEXT(MOD(TIMEVALUE(Q5)+4/1440,1),"HH:MM")</f>
        <v/>
      </c>
      <c r="R7" s="15">
        <f>TEXT(MOD(TIMEVALUE(R5)+4/1440,1),"HH:MM")</f>
        <v/>
      </c>
      <c r="S7" s="15">
        <f>TEXT(MOD(TIMEVALUE(S5)+4/1440,1),"HH:MM")</f>
        <v/>
      </c>
      <c r="T7" s="15">
        <f>TEXT(MOD(TIMEVALUE(T5)+4/1440,1),"HH:MM")</f>
        <v/>
      </c>
      <c r="U7" s="15">
        <f>TEXT(MOD(TIMEVALUE(U5)+4/1440,1),"HH:MM")</f>
        <v/>
      </c>
      <c r="V7" s="15">
        <f>TEXT(MOD(TIMEVALUE(V5)+4/1440,1),"HH:MM")</f>
        <v/>
      </c>
      <c r="W7" s="15">
        <f>TEXT(MOD(TIMEVALUE(W5)+4/1440,1),"HH:MM")</f>
        <v/>
      </c>
      <c r="X7" s="15">
        <f>TEXT(MOD(TIMEVALUE(X5)+4/1440,1),"HH:MM")</f>
        <v/>
      </c>
      <c r="Y7" s="15">
        <f>TEXT(MOD(TIMEVALUE(Y5)+4/1440,1),"HH:MM")</f>
        <v/>
      </c>
      <c r="Z7" s="15">
        <f>TEXT(MOD(TIMEVALUE(Z5)+4/1440,1),"HH:MM")</f>
        <v/>
      </c>
      <c r="AA7" s="15">
        <f>TEXT(MOD(TIMEVALUE(AA5)+4/1440,1),"HH:MM")</f>
        <v/>
      </c>
      <c r="AB7" s="15">
        <f>TEXT(MOD(TIMEVALUE(AB5)+4/1440,1),"HH:MM")</f>
        <v/>
      </c>
      <c r="AC7" s="15">
        <f>TEXT(MOD(TIMEVALUE(AC5)+4/1440,1),"HH:MM")</f>
        <v/>
      </c>
      <c r="AD7" s="15">
        <f>TEXT(MOD(TIMEVALUE(AD5)+4/1440,1),"HH:MM")</f>
        <v/>
      </c>
      <c r="AE7" s="15">
        <f>TEXT(MOD(TIMEVALUE(AE5)+4/1440,1),"HH:MM")</f>
        <v/>
      </c>
      <c r="AF7" s="15">
        <f>TEXT(MOD(TIMEVALUE(AF5)+4/1440,1),"HH:MM")</f>
        <v/>
      </c>
      <c r="AG7" s="15">
        <f>TEXT(MOD(TIMEVALUE(AG5)+4/1440,1),"HH:MM")</f>
        <v/>
      </c>
      <c r="AH7" s="15">
        <f>TEXT(MOD(TIMEVALUE(AH5)+4/1440,1),"HH:MM")</f>
        <v/>
      </c>
      <c r="AI7" s="15">
        <f>TEXT(MOD(TIMEVALUE(AI5)+4/1440,1),"HH:MM")</f>
        <v/>
      </c>
      <c r="AJ7" s="15">
        <f>TEXT(MOD(TIMEVALUE(AJ5)+4/1440,1),"HH:MM")</f>
        <v/>
      </c>
      <c r="AK7" s="15">
        <f>TEXT(MOD(TIMEVALUE(AK5)+4/1440,1),"HH:MM")</f>
        <v/>
      </c>
      <c r="AL7" s="15">
        <f>TEXT(MOD(TIMEVALUE(AL5)+4/1440,1),"HH:MM")</f>
        <v/>
      </c>
      <c r="AM7" s="15">
        <f>TEXT(MOD(TIMEVALUE(AM5)+4/1440,1),"HH:MM")</f>
        <v/>
      </c>
    </row>
    <row r="8" ht="16.5" customHeight="1" s="26">
      <c r="A8" s="12" t="inlineStr">
        <is>
          <t>Teniente Agneta</t>
        </is>
      </c>
      <c r="B8" s="13">
        <f>TEXT(MOD(TIMEVALUE(B5)+5/1440,1),"HH:MM")</f>
        <v/>
      </c>
      <c r="C8" s="13">
        <f>TEXT(MOD(TIMEVALUE(C5)+5/1440,1),"HH:MM")</f>
        <v/>
      </c>
      <c r="D8" s="13">
        <f>TEXT(MOD(TIMEVALUE(D5)+5/1440,1),"HH:MM")</f>
        <v/>
      </c>
      <c r="E8" s="13">
        <f>TEXT(MOD(TIMEVALUE(E5)+5/1440,1),"HH:MM")</f>
        <v/>
      </c>
      <c r="F8" s="13">
        <f>TEXT(MOD(TIMEVALUE(F5)+5/1440,1),"HH:MM")</f>
        <v/>
      </c>
      <c r="G8" s="13">
        <f>TEXT(MOD(TIMEVALUE(G5)+5/1440,1),"HH:MM")</f>
        <v/>
      </c>
      <c r="H8" s="13">
        <f>TEXT(MOD(TIMEVALUE(H5)+5/1440,1),"HH:MM")</f>
        <v/>
      </c>
      <c r="I8" s="13">
        <f>TEXT(MOD(TIMEVALUE(I5)+5/1440,1),"HH:MM")</f>
        <v/>
      </c>
      <c r="J8" s="13">
        <f>TEXT(MOD(TIMEVALUE(J5)+5/1440,1),"HH:MM")</f>
        <v/>
      </c>
      <c r="K8" s="13">
        <f>TEXT(MOD(TIMEVALUE(K5)+5/1440,1),"HH:MM")</f>
        <v/>
      </c>
      <c r="L8" s="13">
        <f>TEXT(MOD(TIMEVALUE(L5)+5/1440,1),"HH:MM")</f>
        <v/>
      </c>
      <c r="M8" s="13">
        <f>TEXT(MOD(TIMEVALUE(M5)+5/1440,1),"HH:MM")</f>
        <v/>
      </c>
      <c r="N8" s="13">
        <f>TEXT(MOD(TIMEVALUE(N5)+5/1440,1),"HH:MM")</f>
        <v/>
      </c>
      <c r="O8" s="13">
        <f>TEXT(MOD(TIMEVALUE(O5)+5/1440,1),"HH:MM")</f>
        <v/>
      </c>
      <c r="P8" s="13">
        <f>TEXT(MOD(TIMEVALUE(P5)+5/1440,1),"HH:MM")</f>
        <v/>
      </c>
      <c r="Q8" s="13">
        <f>TEXT(MOD(TIMEVALUE(Q5)+5/1440,1),"HH:MM")</f>
        <v/>
      </c>
      <c r="R8" s="13">
        <f>TEXT(MOD(TIMEVALUE(R5)+5/1440,1),"HH:MM")</f>
        <v/>
      </c>
      <c r="S8" s="13">
        <f>TEXT(MOD(TIMEVALUE(S5)+5/1440,1),"HH:MM")</f>
        <v/>
      </c>
      <c r="T8" s="13">
        <f>TEXT(MOD(TIMEVALUE(T5)+5/1440,1),"HH:MM")</f>
        <v/>
      </c>
      <c r="U8" s="13">
        <f>TEXT(MOD(TIMEVALUE(U5)+5/1440,1),"HH:MM")</f>
        <v/>
      </c>
      <c r="V8" s="13">
        <f>TEXT(MOD(TIMEVALUE(V5)+5/1440,1),"HH:MM")</f>
        <v/>
      </c>
      <c r="W8" s="13">
        <f>TEXT(MOD(TIMEVALUE(W5)+5/1440,1),"HH:MM")</f>
        <v/>
      </c>
      <c r="X8" s="13">
        <f>TEXT(MOD(TIMEVALUE(X5)+5/1440,1),"HH:MM")</f>
        <v/>
      </c>
      <c r="Y8" s="13">
        <f>TEXT(MOD(TIMEVALUE(Y5)+5/1440,1),"HH:MM")</f>
        <v/>
      </c>
      <c r="Z8" s="13">
        <f>TEXT(MOD(TIMEVALUE(Z5)+5/1440,1),"HH:MM")</f>
        <v/>
      </c>
      <c r="AA8" s="13">
        <f>TEXT(MOD(TIMEVALUE(AA5)+5/1440,1),"HH:MM")</f>
        <v/>
      </c>
      <c r="AB8" s="13">
        <f>TEXT(MOD(TIMEVALUE(AB5)+5/1440,1),"HH:MM")</f>
        <v/>
      </c>
      <c r="AC8" s="13">
        <f>TEXT(MOD(TIMEVALUE(AC5)+5/1440,1),"HH:MM")</f>
        <v/>
      </c>
      <c r="AD8" s="13">
        <f>TEXT(MOD(TIMEVALUE(AD5)+5/1440,1),"HH:MM")</f>
        <v/>
      </c>
      <c r="AE8" s="13">
        <f>TEXT(MOD(TIMEVALUE(AE5)+5/1440,1),"HH:MM")</f>
        <v/>
      </c>
      <c r="AF8" s="13">
        <f>TEXT(MOD(TIMEVALUE(AF5)+5/1440,1),"HH:MM")</f>
        <v/>
      </c>
      <c r="AG8" s="13">
        <f>TEXT(MOD(TIMEVALUE(AG5)+5/1440,1),"HH:MM")</f>
        <v/>
      </c>
      <c r="AH8" s="13">
        <f>TEXT(MOD(TIMEVALUE(AH5)+5/1440,1),"HH:MM")</f>
        <v/>
      </c>
      <c r="AI8" s="13">
        <f>TEXT(MOD(TIMEVALUE(AI5)+5/1440,1),"HH:MM")</f>
        <v/>
      </c>
      <c r="AJ8" s="13">
        <f>TEXT(MOD(TIMEVALUE(AJ5)+5/1440,1),"HH:MM")</f>
        <v/>
      </c>
      <c r="AK8" s="13">
        <f>TEXT(MOD(TIMEVALUE(AK5)+5/1440,1),"HH:MM")</f>
        <v/>
      </c>
      <c r="AL8" s="13">
        <f>TEXT(MOD(TIMEVALUE(AL5)+5/1440,1),"HH:MM")</f>
        <v/>
      </c>
      <c r="AM8" s="13">
        <f>TEXT(MOD(TIMEVALUE(AM5)+5/1440,1),"HH:MM")</f>
        <v/>
      </c>
    </row>
    <row r="9" ht="16.5" customHeight="1" s="26">
      <c r="A9" s="14" t="inlineStr">
        <is>
          <t>Capitán Lozano</t>
        </is>
      </c>
      <c r="B9" s="15">
        <f>TEXT(MOD(TIMEVALUE(B5)+7/1440,1),"HH:MM")</f>
        <v/>
      </c>
      <c r="C9" s="15">
        <f>TEXT(MOD(TIMEVALUE(C5)+7/1440,1),"HH:MM")</f>
        <v/>
      </c>
      <c r="D9" s="15">
        <f>TEXT(MOD(TIMEVALUE(D5)+7/1440,1),"HH:MM")</f>
        <v/>
      </c>
      <c r="E9" s="15">
        <f>TEXT(MOD(TIMEVALUE(E5)+7/1440,1),"HH:MM")</f>
        <v/>
      </c>
      <c r="F9" s="15">
        <f>TEXT(MOD(TIMEVALUE(F5)+7/1440,1),"HH:MM")</f>
        <v/>
      </c>
      <c r="G9" s="15">
        <f>TEXT(MOD(TIMEVALUE(G5)+7/1440,1),"HH:MM")</f>
        <v/>
      </c>
      <c r="H9" s="15">
        <f>TEXT(MOD(TIMEVALUE(H5)+7/1440,1),"HH:MM")</f>
        <v/>
      </c>
      <c r="I9" s="15">
        <f>TEXT(MOD(TIMEVALUE(I5)+7/1440,1),"HH:MM")</f>
        <v/>
      </c>
      <c r="J9" s="15">
        <f>TEXT(MOD(TIMEVALUE(J5)+7/1440,1),"HH:MM")</f>
        <v/>
      </c>
      <c r="K9" s="15">
        <f>TEXT(MOD(TIMEVALUE(K5)+7/1440,1),"HH:MM")</f>
        <v/>
      </c>
      <c r="L9" s="15">
        <f>TEXT(MOD(TIMEVALUE(L5)+7/1440,1),"HH:MM")</f>
        <v/>
      </c>
      <c r="M9" s="15">
        <f>TEXT(MOD(TIMEVALUE(M5)+7/1440,1),"HH:MM")</f>
        <v/>
      </c>
      <c r="N9" s="15">
        <f>TEXT(MOD(TIMEVALUE(N5)+7/1440,1),"HH:MM")</f>
        <v/>
      </c>
      <c r="O9" s="15">
        <f>TEXT(MOD(TIMEVALUE(O5)+7/1440,1),"HH:MM")</f>
        <v/>
      </c>
      <c r="P9" s="15">
        <f>TEXT(MOD(TIMEVALUE(P5)+7/1440,1),"HH:MM")</f>
        <v/>
      </c>
      <c r="Q9" s="15">
        <f>TEXT(MOD(TIMEVALUE(Q5)+7/1440,1),"HH:MM")</f>
        <v/>
      </c>
      <c r="R9" s="15">
        <f>TEXT(MOD(TIMEVALUE(R5)+7/1440,1),"HH:MM")</f>
        <v/>
      </c>
      <c r="S9" s="15">
        <f>TEXT(MOD(TIMEVALUE(S5)+7/1440,1),"HH:MM")</f>
        <v/>
      </c>
      <c r="T9" s="15">
        <f>TEXT(MOD(TIMEVALUE(T5)+7/1440,1),"HH:MM")</f>
        <v/>
      </c>
      <c r="U9" s="15">
        <f>TEXT(MOD(TIMEVALUE(U5)+7/1440,1),"HH:MM")</f>
        <v/>
      </c>
      <c r="V9" s="15">
        <f>TEXT(MOD(TIMEVALUE(V5)+7/1440,1),"HH:MM")</f>
        <v/>
      </c>
      <c r="W9" s="15">
        <f>TEXT(MOD(TIMEVALUE(W5)+7/1440,1),"HH:MM")</f>
        <v/>
      </c>
      <c r="X9" s="15">
        <f>TEXT(MOD(TIMEVALUE(X5)+7/1440,1),"HH:MM")</f>
        <v/>
      </c>
      <c r="Y9" s="15">
        <f>TEXT(MOD(TIMEVALUE(Y5)+7/1440,1),"HH:MM")</f>
        <v/>
      </c>
      <c r="Z9" s="15">
        <f>TEXT(MOD(TIMEVALUE(Z5)+7/1440,1),"HH:MM")</f>
        <v/>
      </c>
      <c r="AA9" s="15">
        <f>TEXT(MOD(TIMEVALUE(AA5)+7/1440,1),"HH:MM")</f>
        <v/>
      </c>
      <c r="AB9" s="15">
        <f>TEXT(MOD(TIMEVALUE(AB5)+7/1440,1),"HH:MM")</f>
        <v/>
      </c>
      <c r="AC9" s="15">
        <f>TEXT(MOD(TIMEVALUE(AC5)+7/1440,1),"HH:MM")</f>
        <v/>
      </c>
      <c r="AD9" s="15">
        <f>TEXT(MOD(TIMEVALUE(AD5)+7/1440,1),"HH:MM")</f>
        <v/>
      </c>
      <c r="AE9" s="15">
        <f>TEXT(MOD(TIMEVALUE(AE5)+7/1440,1),"HH:MM")</f>
        <v/>
      </c>
      <c r="AF9" s="15">
        <f>TEXT(MOD(TIMEVALUE(AF5)+7/1440,1),"HH:MM")</f>
        <v/>
      </c>
      <c r="AG9" s="15">
        <f>TEXT(MOD(TIMEVALUE(AG5)+7/1440,1),"HH:MM")</f>
        <v/>
      </c>
      <c r="AH9" s="15">
        <f>TEXT(MOD(TIMEVALUE(AH5)+7/1440,1),"HH:MM")</f>
        <v/>
      </c>
      <c r="AI9" s="15">
        <f>TEXT(MOD(TIMEVALUE(AI5)+7/1440,1),"HH:MM")</f>
        <v/>
      </c>
      <c r="AJ9" s="15">
        <f>TEXT(MOD(TIMEVALUE(AJ5)+7/1440,1),"HH:MM")</f>
        <v/>
      </c>
      <c r="AK9" s="15">
        <f>TEXT(MOD(TIMEVALUE(AK5)+7/1440,1),"HH:MM")</f>
        <v/>
      </c>
      <c r="AL9" s="15">
        <f>TEXT(MOD(TIMEVALUE(AL5)+7/1440,1),"HH:MM")</f>
        <v/>
      </c>
      <c r="AM9" s="15">
        <f>TEXT(MOD(TIMEVALUE(AM5)+7/1440,1),"HH:MM")</f>
        <v/>
      </c>
    </row>
    <row r="10" ht="16.5" customHeight="1" s="26">
      <c r="A10" s="12" t="inlineStr">
        <is>
          <t>Sgto. Barruffaldi</t>
        </is>
      </c>
      <c r="B10" s="13">
        <f>TEXT(MOD(TIMEVALUE(B5)+9/1440,1),"HH:MM")</f>
        <v/>
      </c>
      <c r="C10" s="13">
        <f>TEXT(MOD(TIMEVALUE(C5)+9/1440,1),"HH:MM")</f>
        <v/>
      </c>
      <c r="D10" s="13">
        <f>TEXT(MOD(TIMEVALUE(D5)+9/1440,1),"HH:MM")</f>
        <v/>
      </c>
      <c r="E10" s="13">
        <f>TEXT(MOD(TIMEVALUE(E5)+9/1440,1),"HH:MM")</f>
        <v/>
      </c>
      <c r="F10" s="13">
        <f>TEXT(MOD(TIMEVALUE(F5)+9/1440,1),"HH:MM")</f>
        <v/>
      </c>
      <c r="G10" s="13">
        <f>TEXT(MOD(TIMEVALUE(G5)+9/1440,1),"HH:MM")</f>
        <v/>
      </c>
      <c r="H10" s="13">
        <f>TEXT(MOD(TIMEVALUE(H5)+9/1440,1),"HH:MM")</f>
        <v/>
      </c>
      <c r="I10" s="13">
        <f>TEXT(MOD(TIMEVALUE(I5)+9/1440,1),"HH:MM")</f>
        <v/>
      </c>
      <c r="J10" s="13">
        <f>TEXT(MOD(TIMEVALUE(J5)+9/1440,1),"HH:MM")</f>
        <v/>
      </c>
      <c r="K10" s="13">
        <f>TEXT(MOD(TIMEVALUE(K5)+9/1440,1),"HH:MM")</f>
        <v/>
      </c>
      <c r="L10" s="13">
        <f>TEXT(MOD(TIMEVALUE(L5)+9/1440,1),"HH:MM")</f>
        <v/>
      </c>
      <c r="M10" s="13">
        <f>TEXT(MOD(TIMEVALUE(M5)+9/1440,1),"HH:MM")</f>
        <v/>
      </c>
      <c r="N10" s="13">
        <f>TEXT(MOD(TIMEVALUE(N5)+9/1440,1),"HH:MM")</f>
        <v/>
      </c>
      <c r="O10" s="13">
        <f>TEXT(MOD(TIMEVALUE(O5)+9/1440,1),"HH:MM")</f>
        <v/>
      </c>
      <c r="P10" s="13">
        <f>TEXT(MOD(TIMEVALUE(P5)+9/1440,1),"HH:MM")</f>
        <v/>
      </c>
      <c r="Q10" s="13">
        <f>TEXT(MOD(TIMEVALUE(Q5)+9/1440,1),"HH:MM")</f>
        <v/>
      </c>
      <c r="R10" s="13">
        <f>TEXT(MOD(TIMEVALUE(R5)+9/1440,1),"HH:MM")</f>
        <v/>
      </c>
      <c r="S10" s="13">
        <f>TEXT(MOD(TIMEVALUE(S5)+9/1440,1),"HH:MM")</f>
        <v/>
      </c>
      <c r="T10" s="13">
        <f>TEXT(MOD(TIMEVALUE(T5)+9/1440,1),"HH:MM")</f>
        <v/>
      </c>
      <c r="U10" s="13">
        <f>TEXT(MOD(TIMEVALUE(U5)+9/1440,1),"HH:MM")</f>
        <v/>
      </c>
      <c r="V10" s="13">
        <f>TEXT(MOD(TIMEVALUE(V5)+9/1440,1),"HH:MM")</f>
        <v/>
      </c>
      <c r="W10" s="13">
        <f>TEXT(MOD(TIMEVALUE(W5)+9/1440,1),"HH:MM")</f>
        <v/>
      </c>
      <c r="X10" s="13">
        <f>TEXT(MOD(TIMEVALUE(X5)+9/1440,1),"HH:MM")</f>
        <v/>
      </c>
      <c r="Y10" s="13">
        <f>TEXT(MOD(TIMEVALUE(Y5)+9/1440,1),"HH:MM")</f>
        <v/>
      </c>
      <c r="Z10" s="13">
        <f>TEXT(MOD(TIMEVALUE(Z5)+9/1440,1),"HH:MM")</f>
        <v/>
      </c>
      <c r="AA10" s="13">
        <f>TEXT(MOD(TIMEVALUE(AA5)+9/1440,1),"HH:MM")</f>
        <v/>
      </c>
      <c r="AB10" s="13">
        <f>TEXT(MOD(TIMEVALUE(AB5)+9/1440,1),"HH:MM")</f>
        <v/>
      </c>
      <c r="AC10" s="13">
        <f>TEXT(MOD(TIMEVALUE(AC5)+9/1440,1),"HH:MM")</f>
        <v/>
      </c>
      <c r="AD10" s="13">
        <f>TEXT(MOD(TIMEVALUE(AD5)+9/1440,1),"HH:MM")</f>
        <v/>
      </c>
      <c r="AE10" s="13">
        <f>TEXT(MOD(TIMEVALUE(AE5)+9/1440,1),"HH:MM")</f>
        <v/>
      </c>
      <c r="AF10" s="13">
        <f>TEXT(MOD(TIMEVALUE(AF5)+9/1440,1),"HH:MM")</f>
        <v/>
      </c>
      <c r="AG10" s="13">
        <f>TEXT(MOD(TIMEVALUE(AG5)+9/1440,1),"HH:MM")</f>
        <v/>
      </c>
      <c r="AH10" s="13">
        <f>TEXT(MOD(TIMEVALUE(AH5)+9/1440,1),"HH:MM")</f>
        <v/>
      </c>
      <c r="AI10" s="13">
        <f>TEXT(MOD(TIMEVALUE(AI5)+9/1440,1),"HH:MM")</f>
        <v/>
      </c>
      <c r="AJ10" s="13">
        <f>TEXT(MOD(TIMEVALUE(AJ5)+9/1440,1),"HH:MM")</f>
        <v/>
      </c>
      <c r="AK10" s="13">
        <f>TEXT(MOD(TIMEVALUE(AK5)+9/1440,1),"HH:MM")</f>
        <v/>
      </c>
      <c r="AL10" s="13">
        <f>TEXT(MOD(TIMEVALUE(AL5)+9/1440,1),"HH:MM")</f>
        <v/>
      </c>
      <c r="AM10" s="13">
        <f>TEXT(MOD(TIMEVALUE(AM5)+9/1440,1),"HH:MM")</f>
        <v/>
      </c>
    </row>
    <row r="11" ht="16.5" customHeight="1" s="26">
      <c r="A11" s="14" t="inlineStr">
        <is>
          <t>Juan E. de la Salle</t>
        </is>
      </c>
      <c r="B11" s="15">
        <f>TEXT(MOD(TIMEVALUE(B5)+12/1440,1),"HH:MM")</f>
        <v/>
      </c>
      <c r="C11" s="15">
        <f>TEXT(MOD(TIMEVALUE(C5)+12/1440,1),"HH:MM")</f>
        <v/>
      </c>
      <c r="D11" s="15">
        <f>TEXT(MOD(TIMEVALUE(D5)+12/1440,1),"HH:MM")</f>
        <v/>
      </c>
      <c r="E11" s="15">
        <f>TEXT(MOD(TIMEVALUE(E5)+12/1440,1),"HH:MM")</f>
        <v/>
      </c>
      <c r="F11" s="15">
        <f>TEXT(MOD(TIMEVALUE(F5)+12/1440,1),"HH:MM")</f>
        <v/>
      </c>
      <c r="G11" s="15">
        <f>TEXT(MOD(TIMEVALUE(G5)+12/1440,1),"HH:MM")</f>
        <v/>
      </c>
      <c r="H11" s="15">
        <f>TEXT(MOD(TIMEVALUE(H5)+12/1440,1),"HH:MM")</f>
        <v/>
      </c>
      <c r="I11" s="15">
        <f>TEXT(MOD(TIMEVALUE(I5)+12/1440,1),"HH:MM")</f>
        <v/>
      </c>
      <c r="J11" s="15">
        <f>TEXT(MOD(TIMEVALUE(J5)+12/1440,1),"HH:MM")</f>
        <v/>
      </c>
      <c r="K11" s="15">
        <f>TEXT(MOD(TIMEVALUE(K5)+12/1440,1),"HH:MM")</f>
        <v/>
      </c>
      <c r="L11" s="15">
        <f>TEXT(MOD(TIMEVALUE(L5)+12/1440,1),"HH:MM")</f>
        <v/>
      </c>
      <c r="M11" s="15">
        <f>TEXT(MOD(TIMEVALUE(M5)+12/1440,1),"HH:MM")</f>
        <v/>
      </c>
      <c r="N11" s="15">
        <f>TEXT(MOD(TIMEVALUE(N5)+12/1440,1),"HH:MM")</f>
        <v/>
      </c>
      <c r="O11" s="15">
        <f>TEXT(MOD(TIMEVALUE(O5)+12/1440,1),"HH:MM")</f>
        <v/>
      </c>
      <c r="P11" s="15">
        <f>TEXT(MOD(TIMEVALUE(P5)+12/1440,1),"HH:MM")</f>
        <v/>
      </c>
      <c r="Q11" s="15">
        <f>TEXT(MOD(TIMEVALUE(Q5)+12/1440,1),"HH:MM")</f>
        <v/>
      </c>
      <c r="R11" s="15">
        <f>TEXT(MOD(TIMEVALUE(R5)+12/1440,1),"HH:MM")</f>
        <v/>
      </c>
      <c r="S11" s="15">
        <f>TEXT(MOD(TIMEVALUE(S5)+12/1440,1),"HH:MM")</f>
        <v/>
      </c>
      <c r="T11" s="15">
        <f>TEXT(MOD(TIMEVALUE(T5)+12/1440,1),"HH:MM")</f>
        <v/>
      </c>
      <c r="U11" s="15">
        <f>TEXT(MOD(TIMEVALUE(U5)+12/1440,1),"HH:MM")</f>
        <v/>
      </c>
      <c r="V11" s="15">
        <f>TEXT(MOD(TIMEVALUE(V5)+12/1440,1),"HH:MM")</f>
        <v/>
      </c>
      <c r="W11" s="15">
        <f>TEXT(MOD(TIMEVALUE(W5)+12/1440,1),"HH:MM")</f>
        <v/>
      </c>
      <c r="X11" s="15">
        <f>TEXT(MOD(TIMEVALUE(X5)+12/1440,1),"HH:MM")</f>
        <v/>
      </c>
      <c r="Y11" s="15">
        <f>TEXT(MOD(TIMEVALUE(Y5)+12/1440,1),"HH:MM")</f>
        <v/>
      </c>
      <c r="Z11" s="15">
        <f>TEXT(MOD(TIMEVALUE(Z5)+12/1440,1),"HH:MM")</f>
        <v/>
      </c>
      <c r="AA11" s="15">
        <f>TEXT(MOD(TIMEVALUE(AA5)+12/1440,1),"HH:MM")</f>
        <v/>
      </c>
      <c r="AB11" s="15">
        <f>TEXT(MOD(TIMEVALUE(AB5)+12/1440,1),"HH:MM")</f>
        <v/>
      </c>
      <c r="AC11" s="15">
        <f>TEXT(MOD(TIMEVALUE(AC5)+12/1440,1),"HH:MM")</f>
        <v/>
      </c>
      <c r="AD11" s="15">
        <f>TEXT(MOD(TIMEVALUE(AD5)+12/1440,1),"HH:MM")</f>
        <v/>
      </c>
      <c r="AE11" s="15">
        <f>TEXT(MOD(TIMEVALUE(AE5)+12/1440,1),"HH:MM")</f>
        <v/>
      </c>
      <c r="AF11" s="15">
        <f>TEXT(MOD(TIMEVALUE(AF5)+12/1440,1),"HH:MM")</f>
        <v/>
      </c>
      <c r="AG11" s="15">
        <f>TEXT(MOD(TIMEVALUE(AG5)+12/1440,1),"HH:MM")</f>
        <v/>
      </c>
      <c r="AH11" s="15">
        <f>TEXT(MOD(TIMEVALUE(AH5)+12/1440,1),"HH:MM")</f>
        <v/>
      </c>
      <c r="AI11" s="15">
        <f>TEXT(MOD(TIMEVALUE(AI5)+12/1440,1),"HH:MM")</f>
        <v/>
      </c>
      <c r="AJ11" s="15">
        <f>TEXT(MOD(TIMEVALUE(AJ5)+12/1440,1),"HH:MM")</f>
        <v/>
      </c>
      <c r="AK11" s="15">
        <f>TEXT(MOD(TIMEVALUE(AK5)+12/1440,1),"HH:MM")</f>
        <v/>
      </c>
      <c r="AL11" s="15">
        <f>TEXT(MOD(TIMEVALUE(AL5)+12/1440,1),"HH:MM")</f>
        <v/>
      </c>
      <c r="AM11" s="15">
        <f>TEXT(MOD(TIMEVALUE(AM5)+12/1440,1),"HH:MM")</f>
        <v/>
      </c>
    </row>
    <row r="12" ht="16.5" customHeight="1" s="26">
      <c r="A12" s="12" t="inlineStr">
        <is>
          <t>Ejército de los Andes</t>
        </is>
      </c>
      <c r="B12" s="13">
        <f>TEXT(MOD(TIMEVALUE(B5)+14/1440,1),"HH:MM")</f>
        <v/>
      </c>
      <c r="C12" s="13">
        <f>TEXT(MOD(TIMEVALUE(C5)+14/1440,1),"HH:MM")</f>
        <v/>
      </c>
      <c r="D12" s="13">
        <f>TEXT(MOD(TIMEVALUE(D5)+14/1440,1),"HH:MM")</f>
        <v/>
      </c>
      <c r="E12" s="13">
        <f>TEXT(MOD(TIMEVALUE(E5)+14/1440,1),"HH:MM")</f>
        <v/>
      </c>
      <c r="F12" s="13">
        <f>TEXT(MOD(TIMEVALUE(F5)+14/1440,1),"HH:MM")</f>
        <v/>
      </c>
      <c r="G12" s="13">
        <f>TEXT(MOD(TIMEVALUE(G5)+14/1440,1),"HH:MM")</f>
        <v/>
      </c>
      <c r="H12" s="13">
        <f>TEXT(MOD(TIMEVALUE(H5)+14/1440,1),"HH:MM")</f>
        <v/>
      </c>
      <c r="I12" s="13">
        <f>TEXT(MOD(TIMEVALUE(I5)+14/1440,1),"HH:MM")</f>
        <v/>
      </c>
      <c r="J12" s="13">
        <f>TEXT(MOD(TIMEVALUE(J5)+14/1440,1),"HH:MM")</f>
        <v/>
      </c>
      <c r="K12" s="13">
        <f>TEXT(MOD(TIMEVALUE(K5)+14/1440,1),"HH:MM")</f>
        <v/>
      </c>
      <c r="L12" s="13">
        <f>TEXT(MOD(TIMEVALUE(L5)+14/1440,1),"HH:MM")</f>
        <v/>
      </c>
      <c r="M12" s="13">
        <f>TEXT(MOD(TIMEVALUE(M5)+14/1440,1),"HH:MM")</f>
        <v/>
      </c>
      <c r="N12" s="13">
        <f>TEXT(MOD(TIMEVALUE(N5)+14/1440,1),"HH:MM")</f>
        <v/>
      </c>
      <c r="O12" s="13">
        <f>TEXT(MOD(TIMEVALUE(O5)+14/1440,1),"HH:MM")</f>
        <v/>
      </c>
      <c r="P12" s="13">
        <f>TEXT(MOD(TIMEVALUE(P5)+14/1440,1),"HH:MM")</f>
        <v/>
      </c>
      <c r="Q12" s="13">
        <f>TEXT(MOD(TIMEVALUE(Q5)+14/1440,1),"HH:MM")</f>
        <v/>
      </c>
      <c r="R12" s="13">
        <f>TEXT(MOD(TIMEVALUE(R5)+14/1440,1),"HH:MM")</f>
        <v/>
      </c>
      <c r="S12" s="13">
        <f>TEXT(MOD(TIMEVALUE(S5)+14/1440,1),"HH:MM")</f>
        <v/>
      </c>
      <c r="T12" s="13">
        <f>TEXT(MOD(TIMEVALUE(T5)+14/1440,1),"HH:MM")</f>
        <v/>
      </c>
      <c r="U12" s="13">
        <f>TEXT(MOD(TIMEVALUE(U5)+14/1440,1),"HH:MM")</f>
        <v/>
      </c>
      <c r="V12" s="13">
        <f>TEXT(MOD(TIMEVALUE(V5)+14/1440,1),"HH:MM")</f>
        <v/>
      </c>
      <c r="W12" s="13">
        <f>TEXT(MOD(TIMEVALUE(W5)+14/1440,1),"HH:MM")</f>
        <v/>
      </c>
      <c r="X12" s="13">
        <f>TEXT(MOD(TIMEVALUE(X5)+14/1440,1),"HH:MM")</f>
        <v/>
      </c>
      <c r="Y12" s="13">
        <f>TEXT(MOD(TIMEVALUE(Y5)+14/1440,1),"HH:MM")</f>
        <v/>
      </c>
      <c r="Z12" s="13">
        <f>TEXT(MOD(TIMEVALUE(Z5)+14/1440,1),"HH:MM")</f>
        <v/>
      </c>
      <c r="AA12" s="13">
        <f>TEXT(MOD(TIMEVALUE(AA5)+14/1440,1),"HH:MM")</f>
        <v/>
      </c>
      <c r="AB12" s="13">
        <f>TEXT(MOD(TIMEVALUE(AB5)+14/1440,1),"HH:MM")</f>
        <v/>
      </c>
      <c r="AC12" s="13">
        <f>TEXT(MOD(TIMEVALUE(AC5)+14/1440,1),"HH:MM")</f>
        <v/>
      </c>
      <c r="AD12" s="13">
        <f>TEXT(MOD(TIMEVALUE(AD5)+14/1440,1),"HH:MM")</f>
        <v/>
      </c>
      <c r="AE12" s="13">
        <f>TEXT(MOD(TIMEVALUE(AE5)+14/1440,1),"HH:MM")</f>
        <v/>
      </c>
      <c r="AF12" s="13">
        <f>TEXT(MOD(TIMEVALUE(AF5)+14/1440,1),"HH:MM")</f>
        <v/>
      </c>
      <c r="AG12" s="13">
        <f>TEXT(MOD(TIMEVALUE(AG5)+14/1440,1),"HH:MM")</f>
        <v/>
      </c>
      <c r="AH12" s="13">
        <f>TEXT(MOD(TIMEVALUE(AH5)+14/1440,1),"HH:MM")</f>
        <v/>
      </c>
      <c r="AI12" s="13">
        <f>TEXT(MOD(TIMEVALUE(AI5)+14/1440,1),"HH:MM")</f>
        <v/>
      </c>
      <c r="AJ12" s="13">
        <f>TEXT(MOD(TIMEVALUE(AJ5)+14/1440,1),"HH:MM")</f>
        <v/>
      </c>
      <c r="AK12" s="13">
        <f>TEXT(MOD(TIMEVALUE(AK5)+14/1440,1),"HH:MM")</f>
        <v/>
      </c>
      <c r="AL12" s="13">
        <f>TEXT(MOD(TIMEVALUE(AL5)+14/1440,1),"HH:MM")</f>
        <v/>
      </c>
      <c r="AM12" s="13">
        <f>TEXT(MOD(TIMEVALUE(AM5)+14/1440,1),"HH:MM")</f>
        <v/>
      </c>
    </row>
    <row r="13" ht="16.5" customHeight="1" s="26">
      <c r="A13" s="14" t="inlineStr">
        <is>
          <t>Rubén Darío</t>
        </is>
      </c>
      <c r="B13" s="15">
        <f>TEXT(MOD(TIMEVALUE(B5)+18/1440,1),"HH:MM")</f>
        <v/>
      </c>
      <c r="C13" s="15">
        <f>TEXT(MOD(TIMEVALUE(C5)+18/1440,1),"HH:MM")</f>
        <v/>
      </c>
      <c r="D13" s="15">
        <f>TEXT(MOD(TIMEVALUE(D5)+18/1440,1),"HH:MM")</f>
        <v/>
      </c>
      <c r="E13" s="15">
        <f>TEXT(MOD(TIMEVALUE(E5)+18/1440,1),"HH:MM")</f>
        <v/>
      </c>
      <c r="F13" s="15">
        <f>TEXT(MOD(TIMEVALUE(F5)+18/1440,1),"HH:MM")</f>
        <v/>
      </c>
      <c r="G13" s="15">
        <f>TEXT(MOD(TIMEVALUE(G5)+18/1440,1),"HH:MM")</f>
        <v/>
      </c>
      <c r="H13" s="15">
        <f>TEXT(MOD(TIMEVALUE(H5)+18/1440,1),"HH:MM")</f>
        <v/>
      </c>
      <c r="I13" s="15">
        <f>TEXT(MOD(TIMEVALUE(I5)+18/1440,1),"HH:MM")</f>
        <v/>
      </c>
      <c r="J13" s="15">
        <f>TEXT(MOD(TIMEVALUE(J5)+18/1440,1),"HH:MM")</f>
        <v/>
      </c>
      <c r="K13" s="15">
        <f>TEXT(MOD(TIMEVALUE(K5)+18/1440,1),"HH:MM")</f>
        <v/>
      </c>
      <c r="L13" s="15">
        <f>TEXT(MOD(TIMEVALUE(L5)+18/1440,1),"HH:MM")</f>
        <v/>
      </c>
      <c r="M13" s="15">
        <f>TEXT(MOD(TIMEVALUE(M5)+18/1440,1),"HH:MM")</f>
        <v/>
      </c>
      <c r="N13" s="15">
        <f>TEXT(MOD(TIMEVALUE(N5)+18/1440,1),"HH:MM")</f>
        <v/>
      </c>
      <c r="O13" s="15">
        <f>TEXT(MOD(TIMEVALUE(O5)+18/1440,1),"HH:MM")</f>
        <v/>
      </c>
      <c r="P13" s="15">
        <f>TEXT(MOD(TIMEVALUE(P5)+18/1440,1),"HH:MM")</f>
        <v/>
      </c>
      <c r="Q13" s="15">
        <f>TEXT(MOD(TIMEVALUE(Q5)+18/1440,1),"HH:MM")</f>
        <v/>
      </c>
      <c r="R13" s="15">
        <f>TEXT(MOD(TIMEVALUE(R5)+18/1440,1),"HH:MM")</f>
        <v/>
      </c>
      <c r="S13" s="15">
        <f>TEXT(MOD(TIMEVALUE(S5)+18/1440,1),"HH:MM")</f>
        <v/>
      </c>
      <c r="T13" s="15">
        <f>TEXT(MOD(TIMEVALUE(T5)+18/1440,1),"HH:MM")</f>
        <v/>
      </c>
      <c r="U13" s="15">
        <f>TEXT(MOD(TIMEVALUE(U5)+18/1440,1),"HH:MM")</f>
        <v/>
      </c>
      <c r="V13" s="15">
        <f>TEXT(MOD(TIMEVALUE(V5)+18/1440,1),"HH:MM")</f>
        <v/>
      </c>
      <c r="W13" s="15">
        <f>TEXT(MOD(TIMEVALUE(W5)+18/1440,1),"HH:MM")</f>
        <v/>
      </c>
      <c r="X13" s="15">
        <f>TEXT(MOD(TIMEVALUE(X5)+18/1440,1),"HH:MM")</f>
        <v/>
      </c>
      <c r="Y13" s="15">
        <f>TEXT(MOD(TIMEVALUE(Y5)+18/1440,1),"HH:MM")</f>
        <v/>
      </c>
      <c r="Z13" s="15">
        <f>TEXT(MOD(TIMEVALUE(Z5)+18/1440,1),"HH:MM")</f>
        <v/>
      </c>
      <c r="AA13" s="15">
        <f>TEXT(MOD(TIMEVALUE(AA5)+18/1440,1),"HH:MM")</f>
        <v/>
      </c>
      <c r="AB13" s="15">
        <f>TEXT(MOD(TIMEVALUE(AB5)+18/1440,1),"HH:MM")</f>
        <v/>
      </c>
      <c r="AC13" s="15">
        <f>TEXT(MOD(TIMEVALUE(AC5)+18/1440,1),"HH:MM")</f>
        <v/>
      </c>
      <c r="AD13" s="15">
        <f>TEXT(MOD(TIMEVALUE(AD5)+18/1440,1),"HH:MM")</f>
        <v/>
      </c>
      <c r="AE13" s="15">
        <f>TEXT(MOD(TIMEVALUE(AE5)+18/1440,1),"HH:MM")</f>
        <v/>
      </c>
      <c r="AF13" s="15">
        <f>TEXT(MOD(TIMEVALUE(AF5)+18/1440,1),"HH:MM")</f>
        <v/>
      </c>
      <c r="AG13" s="15">
        <f>TEXT(MOD(TIMEVALUE(AG5)+18/1440,1),"HH:MM")</f>
        <v/>
      </c>
      <c r="AH13" s="15">
        <f>TEXT(MOD(TIMEVALUE(AH5)+18/1440,1),"HH:MM")</f>
        <v/>
      </c>
      <c r="AI13" s="15">
        <f>TEXT(MOD(TIMEVALUE(AI5)+18/1440,1),"HH:MM")</f>
        <v/>
      </c>
      <c r="AJ13" s="15">
        <f>TEXT(MOD(TIMEVALUE(AJ5)+18/1440,1),"HH:MM")</f>
        <v/>
      </c>
      <c r="AK13" s="15">
        <f>TEXT(MOD(TIMEVALUE(AK5)+18/1440,1),"HH:MM")</f>
        <v/>
      </c>
      <c r="AL13" s="15">
        <f>TEXT(MOD(TIMEVALUE(AL5)+18/1440,1),"HH:MM")</f>
        <v/>
      </c>
      <c r="AM13" s="15">
        <f>TEXT(MOD(TIMEVALUE(AM5)+18/1440,1),"HH:MM")</f>
        <v/>
      </c>
    </row>
    <row r="14" ht="16.5" customHeight="1" s="26">
      <c r="A14" s="12" t="inlineStr">
        <is>
          <t>Jorge Newbery</t>
        </is>
      </c>
      <c r="B14" s="13">
        <f>TEXT(MOD(TIMEVALUE(B5)+20/1440,1),"HH:MM")</f>
        <v/>
      </c>
      <c r="C14" s="13">
        <f>TEXT(MOD(TIMEVALUE(C5)+20/1440,1),"HH:MM")</f>
        <v/>
      </c>
      <c r="D14" s="13">
        <f>TEXT(MOD(TIMEVALUE(D5)+20/1440,1),"HH:MM")</f>
        <v/>
      </c>
      <c r="E14" s="13">
        <f>TEXT(MOD(TIMEVALUE(E5)+20/1440,1),"HH:MM")</f>
        <v/>
      </c>
      <c r="F14" s="13">
        <f>TEXT(MOD(TIMEVALUE(F5)+20/1440,1),"HH:MM")</f>
        <v/>
      </c>
      <c r="G14" s="13">
        <f>TEXT(MOD(TIMEVALUE(G5)+20/1440,1),"HH:MM")</f>
        <v/>
      </c>
      <c r="H14" s="13">
        <f>TEXT(MOD(TIMEVALUE(H5)+20/1440,1),"HH:MM")</f>
        <v/>
      </c>
      <c r="I14" s="13">
        <f>TEXT(MOD(TIMEVALUE(I5)+20/1440,1),"HH:MM")</f>
        <v/>
      </c>
      <c r="J14" s="13">
        <f>TEXT(MOD(TIMEVALUE(J5)+20/1440,1),"HH:MM")</f>
        <v/>
      </c>
      <c r="K14" s="13">
        <f>TEXT(MOD(TIMEVALUE(K5)+20/1440,1),"HH:MM")</f>
        <v/>
      </c>
      <c r="L14" s="13">
        <f>TEXT(MOD(TIMEVALUE(L5)+20/1440,1),"HH:MM")</f>
        <v/>
      </c>
      <c r="M14" s="13">
        <f>TEXT(MOD(TIMEVALUE(M5)+20/1440,1),"HH:MM")</f>
        <v/>
      </c>
      <c r="N14" s="13">
        <f>TEXT(MOD(TIMEVALUE(N5)+20/1440,1),"HH:MM")</f>
        <v/>
      </c>
      <c r="O14" s="13">
        <f>TEXT(MOD(TIMEVALUE(O5)+20/1440,1),"HH:MM")</f>
        <v/>
      </c>
      <c r="P14" s="13">
        <f>TEXT(MOD(TIMEVALUE(P5)+20/1440,1),"HH:MM")</f>
        <v/>
      </c>
      <c r="Q14" s="13">
        <f>TEXT(MOD(TIMEVALUE(Q5)+20/1440,1),"HH:MM")</f>
        <v/>
      </c>
      <c r="R14" s="13">
        <f>TEXT(MOD(TIMEVALUE(R5)+20/1440,1),"HH:MM")</f>
        <v/>
      </c>
      <c r="S14" s="13">
        <f>TEXT(MOD(TIMEVALUE(S5)+20/1440,1),"HH:MM")</f>
        <v/>
      </c>
      <c r="T14" s="13">
        <f>TEXT(MOD(TIMEVALUE(T5)+20/1440,1),"HH:MM")</f>
        <v/>
      </c>
      <c r="U14" s="13">
        <f>TEXT(MOD(TIMEVALUE(U5)+20/1440,1),"HH:MM")</f>
        <v/>
      </c>
      <c r="V14" s="13">
        <f>TEXT(MOD(TIMEVALUE(V5)+20/1440,1),"HH:MM")</f>
        <v/>
      </c>
      <c r="W14" s="13">
        <f>TEXT(MOD(TIMEVALUE(W5)+20/1440,1),"HH:MM")</f>
        <v/>
      </c>
      <c r="X14" s="13">
        <f>TEXT(MOD(TIMEVALUE(X5)+20/1440,1),"HH:MM")</f>
        <v/>
      </c>
      <c r="Y14" s="13">
        <f>TEXT(MOD(TIMEVALUE(Y5)+20/1440,1),"HH:MM")</f>
        <v/>
      </c>
      <c r="Z14" s="13">
        <f>TEXT(MOD(TIMEVALUE(Z5)+20/1440,1),"HH:MM")</f>
        <v/>
      </c>
      <c r="AA14" s="13">
        <f>TEXT(MOD(TIMEVALUE(AA5)+20/1440,1),"HH:MM")</f>
        <v/>
      </c>
      <c r="AB14" s="13">
        <f>TEXT(MOD(TIMEVALUE(AB5)+20/1440,1),"HH:MM")</f>
        <v/>
      </c>
      <c r="AC14" s="13">
        <f>TEXT(MOD(TIMEVALUE(AC5)+20/1440,1),"HH:MM")</f>
        <v/>
      </c>
      <c r="AD14" s="13">
        <f>TEXT(MOD(TIMEVALUE(AD5)+20/1440,1),"HH:MM")</f>
        <v/>
      </c>
      <c r="AE14" s="13">
        <f>TEXT(MOD(TIMEVALUE(AE5)+20/1440,1),"HH:MM")</f>
        <v/>
      </c>
      <c r="AF14" s="13">
        <f>TEXT(MOD(TIMEVALUE(AF5)+20/1440,1),"HH:MM")</f>
        <v/>
      </c>
      <c r="AG14" s="13">
        <f>TEXT(MOD(TIMEVALUE(AG5)+20/1440,1),"HH:MM")</f>
        <v/>
      </c>
      <c r="AH14" s="13">
        <f>TEXT(MOD(TIMEVALUE(AH5)+20/1440,1),"HH:MM")</f>
        <v/>
      </c>
      <c r="AI14" s="13">
        <f>TEXT(MOD(TIMEVALUE(AI5)+20/1440,1),"HH:MM")</f>
        <v/>
      </c>
      <c r="AJ14" s="13">
        <f>TEXT(MOD(TIMEVALUE(AJ5)+20/1440,1),"HH:MM")</f>
        <v/>
      </c>
      <c r="AK14" s="13">
        <f>TEXT(MOD(TIMEVALUE(AK5)+20/1440,1),"HH:MM")</f>
        <v/>
      </c>
      <c r="AL14" s="13">
        <f>TEXT(MOD(TIMEVALUE(AL5)+20/1440,1),"HH:MM")</f>
        <v/>
      </c>
      <c r="AM14" s="13">
        <f>TEXT(MOD(TIMEVALUE(AM5)+20/1440,1),"HH:MM")</f>
        <v/>
      </c>
    </row>
    <row r="15" ht="16.5" customHeight="1" s="26">
      <c r="A15" s="14" t="inlineStr">
        <is>
          <t>Pedro Podestá</t>
        </is>
      </c>
      <c r="B15" s="15">
        <f>TEXT(MOD(TIMEVALUE(B5)+22/1440,1),"HH:MM")</f>
        <v/>
      </c>
      <c r="C15" s="15">
        <f>TEXT(MOD(TIMEVALUE(C5)+22/1440,1),"HH:MM")</f>
        <v/>
      </c>
      <c r="D15" s="15">
        <f>TEXT(MOD(TIMEVALUE(D5)+22/1440,1),"HH:MM")</f>
        <v/>
      </c>
      <c r="E15" s="15">
        <f>TEXT(MOD(TIMEVALUE(E5)+22/1440,1),"HH:MM")</f>
        <v/>
      </c>
      <c r="F15" s="15">
        <f>TEXT(MOD(TIMEVALUE(F5)+22/1440,1),"HH:MM")</f>
        <v/>
      </c>
      <c r="G15" s="15">
        <f>TEXT(MOD(TIMEVALUE(G5)+22/1440,1),"HH:MM")</f>
        <v/>
      </c>
      <c r="H15" s="15">
        <f>TEXT(MOD(TIMEVALUE(H5)+22/1440,1),"HH:MM")</f>
        <v/>
      </c>
      <c r="I15" s="15">
        <f>TEXT(MOD(TIMEVALUE(I5)+22/1440,1),"HH:MM")</f>
        <v/>
      </c>
      <c r="J15" s="15">
        <f>TEXT(MOD(TIMEVALUE(J5)+22/1440,1),"HH:MM")</f>
        <v/>
      </c>
      <c r="K15" s="15">
        <f>TEXT(MOD(TIMEVALUE(K5)+22/1440,1),"HH:MM")</f>
        <v/>
      </c>
      <c r="L15" s="15">
        <f>TEXT(MOD(TIMEVALUE(L5)+22/1440,1),"HH:MM")</f>
        <v/>
      </c>
      <c r="M15" s="15">
        <f>TEXT(MOD(TIMEVALUE(M5)+22/1440,1),"HH:MM")</f>
        <v/>
      </c>
      <c r="N15" s="15">
        <f>TEXT(MOD(TIMEVALUE(N5)+22/1440,1),"HH:MM")</f>
        <v/>
      </c>
      <c r="O15" s="15">
        <f>TEXT(MOD(TIMEVALUE(O5)+22/1440,1),"HH:MM")</f>
        <v/>
      </c>
      <c r="P15" s="15">
        <f>TEXT(MOD(TIMEVALUE(P5)+22/1440,1),"HH:MM")</f>
        <v/>
      </c>
      <c r="Q15" s="15">
        <f>TEXT(MOD(TIMEVALUE(Q5)+22/1440,1),"HH:MM")</f>
        <v/>
      </c>
      <c r="R15" s="15">
        <f>TEXT(MOD(TIMEVALUE(R5)+22/1440,1),"HH:MM")</f>
        <v/>
      </c>
      <c r="S15" s="15">
        <f>TEXT(MOD(TIMEVALUE(S5)+22/1440,1),"HH:MM")</f>
        <v/>
      </c>
      <c r="T15" s="15">
        <f>TEXT(MOD(TIMEVALUE(T5)+22/1440,1),"HH:MM")</f>
        <v/>
      </c>
      <c r="U15" s="15">
        <f>TEXT(MOD(TIMEVALUE(U5)+22/1440,1),"HH:MM")</f>
        <v/>
      </c>
      <c r="V15" s="15">
        <f>TEXT(MOD(TIMEVALUE(V5)+22/1440,1),"HH:MM")</f>
        <v/>
      </c>
      <c r="W15" s="15">
        <f>TEXT(MOD(TIMEVALUE(W5)+22/1440,1),"HH:MM")</f>
        <v/>
      </c>
      <c r="X15" s="15">
        <f>TEXT(MOD(TIMEVALUE(X5)+22/1440,1),"HH:MM")</f>
        <v/>
      </c>
      <c r="Y15" s="15">
        <f>TEXT(MOD(TIMEVALUE(Y5)+22/1440,1),"HH:MM")</f>
        <v/>
      </c>
      <c r="Z15" s="15">
        <f>TEXT(MOD(TIMEVALUE(Z5)+22/1440,1),"HH:MM")</f>
        <v/>
      </c>
      <c r="AA15" s="15">
        <f>TEXT(MOD(TIMEVALUE(AA5)+22/1440,1),"HH:MM")</f>
        <v/>
      </c>
      <c r="AB15" s="15">
        <f>TEXT(MOD(TIMEVALUE(AB5)+22/1440,1),"HH:MM")</f>
        <v/>
      </c>
      <c r="AC15" s="15">
        <f>TEXT(MOD(TIMEVALUE(AC5)+22/1440,1),"HH:MM")</f>
        <v/>
      </c>
      <c r="AD15" s="15">
        <f>TEXT(MOD(TIMEVALUE(AD5)+22/1440,1),"HH:MM")</f>
        <v/>
      </c>
      <c r="AE15" s="15">
        <f>TEXT(MOD(TIMEVALUE(AE5)+22/1440,1),"HH:MM")</f>
        <v/>
      </c>
      <c r="AF15" s="15">
        <f>TEXT(MOD(TIMEVALUE(AF5)+22/1440,1),"HH:MM")</f>
        <v/>
      </c>
      <c r="AG15" s="15">
        <f>TEXT(MOD(TIMEVALUE(AG5)+22/1440,1),"HH:MM")</f>
        <v/>
      </c>
      <c r="AH15" s="15">
        <f>TEXT(MOD(TIMEVALUE(AH5)+22/1440,1),"HH:MM")</f>
        <v/>
      </c>
      <c r="AI15" s="15">
        <f>TEXT(MOD(TIMEVALUE(AI5)+22/1440,1),"HH:MM")</f>
        <v/>
      </c>
      <c r="AJ15" s="15">
        <f>TEXT(MOD(TIMEVALUE(AJ5)+22/1440,1),"HH:MM")</f>
        <v/>
      </c>
      <c r="AK15" s="15">
        <f>TEXT(MOD(TIMEVALUE(AK5)+22/1440,1),"HH:MM")</f>
        <v/>
      </c>
      <c r="AL15" s="15">
        <f>TEXT(MOD(TIMEVALUE(AL5)+22/1440,1),"HH:MM")</f>
        <v/>
      </c>
      <c r="AM15" s="15">
        <f>TEXT(MOD(TIMEVALUE(AM5)+22/1440,1),"HH:MM")</f>
        <v/>
      </c>
    </row>
    <row r="16" ht="16.5" customHeight="1" s="26">
      <c r="A16" s="12" t="inlineStr">
        <is>
          <t>Martín Coronado</t>
        </is>
      </c>
      <c r="B16" s="13">
        <f>TEXT(MOD(TIMEVALUE(B5)+24/1440,1),"HH:MM")</f>
        <v/>
      </c>
      <c r="C16" s="13">
        <f>TEXT(MOD(TIMEVALUE(C5)+24/1440,1),"HH:MM")</f>
        <v/>
      </c>
      <c r="D16" s="13">
        <f>TEXT(MOD(TIMEVALUE(D5)+24/1440,1),"HH:MM")</f>
        <v/>
      </c>
      <c r="E16" s="13">
        <f>TEXT(MOD(TIMEVALUE(E5)+24/1440,1),"HH:MM")</f>
        <v/>
      </c>
      <c r="F16" s="13">
        <f>TEXT(MOD(TIMEVALUE(F5)+24/1440,1),"HH:MM")</f>
        <v/>
      </c>
      <c r="G16" s="13">
        <f>TEXT(MOD(TIMEVALUE(G5)+24/1440,1),"HH:MM")</f>
        <v/>
      </c>
      <c r="H16" s="13">
        <f>TEXT(MOD(TIMEVALUE(H5)+24/1440,1),"HH:MM")</f>
        <v/>
      </c>
      <c r="I16" s="13">
        <f>TEXT(MOD(TIMEVALUE(I5)+24/1440,1),"HH:MM")</f>
        <v/>
      </c>
      <c r="J16" s="13">
        <f>TEXT(MOD(TIMEVALUE(J5)+24/1440,1),"HH:MM")</f>
        <v/>
      </c>
      <c r="K16" s="13">
        <f>TEXT(MOD(TIMEVALUE(K5)+24/1440,1),"HH:MM")</f>
        <v/>
      </c>
      <c r="L16" s="13">
        <f>TEXT(MOD(TIMEVALUE(L5)+24/1440,1),"HH:MM")</f>
        <v/>
      </c>
      <c r="M16" s="13">
        <f>TEXT(MOD(TIMEVALUE(M5)+24/1440,1),"HH:MM")</f>
        <v/>
      </c>
      <c r="N16" s="13">
        <f>TEXT(MOD(TIMEVALUE(N5)+24/1440,1),"HH:MM")</f>
        <v/>
      </c>
      <c r="O16" s="13">
        <f>TEXT(MOD(TIMEVALUE(O5)+24/1440,1),"HH:MM")</f>
        <v/>
      </c>
      <c r="P16" s="13">
        <f>TEXT(MOD(TIMEVALUE(P5)+24/1440,1),"HH:MM")</f>
        <v/>
      </c>
      <c r="Q16" s="13">
        <f>TEXT(MOD(TIMEVALUE(Q5)+24/1440,1),"HH:MM")</f>
        <v/>
      </c>
      <c r="R16" s="13">
        <f>TEXT(MOD(TIMEVALUE(R5)+24/1440,1),"HH:MM")</f>
        <v/>
      </c>
      <c r="S16" s="13">
        <f>TEXT(MOD(TIMEVALUE(S5)+24/1440,1),"HH:MM")</f>
        <v/>
      </c>
      <c r="T16" s="13">
        <f>TEXT(MOD(TIMEVALUE(T5)+24/1440,1),"HH:MM")</f>
        <v/>
      </c>
      <c r="U16" s="13">
        <f>TEXT(MOD(TIMEVALUE(U5)+24/1440,1),"HH:MM")</f>
        <v/>
      </c>
      <c r="V16" s="13">
        <f>TEXT(MOD(TIMEVALUE(V5)+24/1440,1),"HH:MM")</f>
        <v/>
      </c>
      <c r="W16" s="13">
        <f>TEXT(MOD(TIMEVALUE(W5)+24/1440,1),"HH:MM")</f>
        <v/>
      </c>
      <c r="X16" s="13">
        <f>TEXT(MOD(TIMEVALUE(X5)+24/1440,1),"HH:MM")</f>
        <v/>
      </c>
      <c r="Y16" s="13">
        <f>TEXT(MOD(TIMEVALUE(Y5)+24/1440,1),"HH:MM")</f>
        <v/>
      </c>
      <c r="Z16" s="13">
        <f>TEXT(MOD(TIMEVALUE(Z5)+24/1440,1),"HH:MM")</f>
        <v/>
      </c>
      <c r="AA16" s="13">
        <f>TEXT(MOD(TIMEVALUE(AA5)+24/1440,1),"HH:MM")</f>
        <v/>
      </c>
      <c r="AB16" s="13">
        <f>TEXT(MOD(TIMEVALUE(AB5)+24/1440,1),"HH:MM")</f>
        <v/>
      </c>
      <c r="AC16" s="13">
        <f>TEXT(MOD(TIMEVALUE(AC5)+24/1440,1),"HH:MM")</f>
        <v/>
      </c>
      <c r="AD16" s="13">
        <f>TEXT(MOD(TIMEVALUE(AD5)+24/1440,1),"HH:MM")</f>
        <v/>
      </c>
      <c r="AE16" s="13">
        <f>TEXT(MOD(TIMEVALUE(AE5)+24/1440,1),"HH:MM")</f>
        <v/>
      </c>
      <c r="AF16" s="13">
        <f>TEXT(MOD(TIMEVALUE(AF5)+24/1440,1),"HH:MM")</f>
        <v/>
      </c>
      <c r="AG16" s="13">
        <f>TEXT(MOD(TIMEVALUE(AG5)+24/1440,1),"HH:MM")</f>
        <v/>
      </c>
      <c r="AH16" s="13">
        <f>TEXT(MOD(TIMEVALUE(AH5)+24/1440,1),"HH:MM")</f>
        <v/>
      </c>
      <c r="AI16" s="13">
        <f>TEXT(MOD(TIMEVALUE(AI5)+24/1440,1),"HH:MM")</f>
        <v/>
      </c>
      <c r="AJ16" s="13">
        <f>TEXT(MOD(TIMEVALUE(AJ5)+24/1440,1),"HH:MM")</f>
        <v/>
      </c>
      <c r="AK16" s="13">
        <f>TEXT(MOD(TIMEVALUE(AK5)+24/1440,1),"HH:MM")</f>
        <v/>
      </c>
      <c r="AL16" s="13">
        <f>TEXT(MOD(TIMEVALUE(AL5)+24/1440,1),"HH:MM")</f>
        <v/>
      </c>
      <c r="AM16" s="13">
        <f>TEXT(MOD(TIMEVALUE(AM5)+24/1440,1),"HH:MM")</f>
        <v/>
      </c>
    </row>
    <row r="17" ht="16.5" customHeight="1" s="26">
      <c r="A17" s="14" t="inlineStr">
        <is>
          <t>José M. Bosch</t>
        </is>
      </c>
      <c r="B17" s="15">
        <f>TEXT(MOD(TIMEVALUE(B5)+27/1440,1),"HH:MM")</f>
        <v/>
      </c>
      <c r="C17" s="15">
        <f>TEXT(MOD(TIMEVALUE(C5)+27/1440,1),"HH:MM")</f>
        <v/>
      </c>
      <c r="D17" s="15">
        <f>TEXT(MOD(TIMEVALUE(D5)+27/1440,1),"HH:MM")</f>
        <v/>
      </c>
      <c r="E17" s="15">
        <f>TEXT(MOD(TIMEVALUE(E5)+27/1440,1),"HH:MM")</f>
        <v/>
      </c>
      <c r="F17" s="15">
        <f>TEXT(MOD(TIMEVALUE(F5)+27/1440,1),"HH:MM")</f>
        <v/>
      </c>
      <c r="G17" s="15">
        <f>TEXT(MOD(TIMEVALUE(G5)+27/1440,1),"HH:MM")</f>
        <v/>
      </c>
      <c r="H17" s="15">
        <f>TEXT(MOD(TIMEVALUE(H5)+27/1440,1),"HH:MM")</f>
        <v/>
      </c>
      <c r="I17" s="15">
        <f>TEXT(MOD(TIMEVALUE(I5)+27/1440,1),"HH:MM")</f>
        <v/>
      </c>
      <c r="J17" s="15">
        <f>TEXT(MOD(TIMEVALUE(J5)+27/1440,1),"HH:MM")</f>
        <v/>
      </c>
      <c r="K17" s="15">
        <f>TEXT(MOD(TIMEVALUE(K5)+27/1440,1),"HH:MM")</f>
        <v/>
      </c>
      <c r="L17" s="15">
        <f>TEXT(MOD(TIMEVALUE(L5)+27/1440,1),"HH:MM")</f>
        <v/>
      </c>
      <c r="M17" s="15">
        <f>TEXT(MOD(TIMEVALUE(M5)+27/1440,1),"HH:MM")</f>
        <v/>
      </c>
      <c r="N17" s="15">
        <f>TEXT(MOD(TIMEVALUE(N5)+27/1440,1),"HH:MM")</f>
        <v/>
      </c>
      <c r="O17" s="15">
        <f>TEXT(MOD(TIMEVALUE(O5)+27/1440,1),"HH:MM")</f>
        <v/>
      </c>
      <c r="P17" s="15">
        <f>TEXT(MOD(TIMEVALUE(P5)+27/1440,1),"HH:MM")</f>
        <v/>
      </c>
      <c r="Q17" s="15">
        <f>TEXT(MOD(TIMEVALUE(Q5)+27/1440,1),"HH:MM")</f>
        <v/>
      </c>
      <c r="R17" s="15">
        <f>TEXT(MOD(TIMEVALUE(R5)+27/1440,1),"HH:MM")</f>
        <v/>
      </c>
      <c r="S17" s="15">
        <f>TEXT(MOD(TIMEVALUE(S5)+27/1440,1),"HH:MM")</f>
        <v/>
      </c>
      <c r="T17" s="15">
        <f>TEXT(MOD(TIMEVALUE(T5)+27/1440,1),"HH:MM")</f>
        <v/>
      </c>
      <c r="U17" s="15">
        <f>TEXT(MOD(TIMEVALUE(U5)+27/1440,1),"HH:MM")</f>
        <v/>
      </c>
      <c r="V17" s="15">
        <f>TEXT(MOD(TIMEVALUE(V5)+27/1440,1),"HH:MM")</f>
        <v/>
      </c>
      <c r="W17" s="15">
        <f>TEXT(MOD(TIMEVALUE(W5)+27/1440,1),"HH:MM")</f>
        <v/>
      </c>
      <c r="X17" s="15">
        <f>TEXT(MOD(TIMEVALUE(X5)+27/1440,1),"HH:MM")</f>
        <v/>
      </c>
      <c r="Y17" s="15">
        <f>TEXT(MOD(TIMEVALUE(Y5)+27/1440,1),"HH:MM")</f>
        <v/>
      </c>
      <c r="Z17" s="15">
        <f>TEXT(MOD(TIMEVALUE(Z5)+27/1440,1),"HH:MM")</f>
        <v/>
      </c>
      <c r="AA17" s="15">
        <f>TEXT(MOD(TIMEVALUE(AA5)+27/1440,1),"HH:MM")</f>
        <v/>
      </c>
      <c r="AB17" s="15">
        <f>TEXT(MOD(TIMEVALUE(AB5)+27/1440,1),"HH:MM")</f>
        <v/>
      </c>
      <c r="AC17" s="15">
        <f>TEXT(MOD(TIMEVALUE(AC5)+27/1440,1),"HH:MM")</f>
        <v/>
      </c>
      <c r="AD17" s="15">
        <f>TEXT(MOD(TIMEVALUE(AD5)+27/1440,1),"HH:MM")</f>
        <v/>
      </c>
      <c r="AE17" s="15">
        <f>TEXT(MOD(TIMEVALUE(AE5)+27/1440,1),"HH:MM")</f>
        <v/>
      </c>
      <c r="AF17" s="15">
        <f>TEXT(MOD(TIMEVALUE(AF5)+27/1440,1),"HH:MM")</f>
        <v/>
      </c>
      <c r="AG17" s="15">
        <f>TEXT(MOD(TIMEVALUE(AG5)+27/1440,1),"HH:MM")</f>
        <v/>
      </c>
      <c r="AH17" s="15">
        <f>TEXT(MOD(TIMEVALUE(AH5)+27/1440,1),"HH:MM")</f>
        <v/>
      </c>
      <c r="AI17" s="15">
        <f>TEXT(MOD(TIMEVALUE(AI5)+27/1440,1),"HH:MM")</f>
        <v/>
      </c>
      <c r="AJ17" s="15">
        <f>TEXT(MOD(TIMEVALUE(AJ5)+27/1440,1),"HH:MM")</f>
        <v/>
      </c>
      <c r="AK17" s="15">
        <f>TEXT(MOD(TIMEVALUE(AK5)+27/1440,1),"HH:MM")</f>
        <v/>
      </c>
      <c r="AL17" s="15">
        <f>TEXT(MOD(TIMEVALUE(AL5)+27/1440,1),"HH:MM")</f>
        <v/>
      </c>
      <c r="AM17" s="15">
        <f>TEXT(MOD(TIMEVALUE(AM5)+27/1440,1),"HH:MM")</f>
        <v/>
      </c>
    </row>
    <row r="18" ht="16.5" customHeight="1" s="26">
      <c r="A18" s="12" t="inlineStr">
        <is>
          <t>Tropezón</t>
        </is>
      </c>
      <c r="B18" s="13">
        <f>TEXT(MOD(TIMEVALUE(B5)+29/1440,1),"HH:MM")</f>
        <v/>
      </c>
      <c r="C18" s="13">
        <f>TEXT(MOD(TIMEVALUE(C5)+29/1440,1),"HH:MM")</f>
        <v/>
      </c>
      <c r="D18" s="13">
        <f>TEXT(MOD(TIMEVALUE(D5)+29/1440,1),"HH:MM")</f>
        <v/>
      </c>
      <c r="E18" s="13">
        <f>TEXT(MOD(TIMEVALUE(E5)+29/1440,1),"HH:MM")</f>
        <v/>
      </c>
      <c r="F18" s="13">
        <f>TEXT(MOD(TIMEVALUE(F5)+29/1440,1),"HH:MM")</f>
        <v/>
      </c>
      <c r="G18" s="13">
        <f>TEXT(MOD(TIMEVALUE(G5)+29/1440,1),"HH:MM")</f>
        <v/>
      </c>
      <c r="H18" s="13">
        <f>TEXT(MOD(TIMEVALUE(H5)+29/1440,1),"HH:MM")</f>
        <v/>
      </c>
      <c r="I18" s="13">
        <f>TEXT(MOD(TIMEVALUE(I5)+29/1440,1),"HH:MM")</f>
        <v/>
      </c>
      <c r="J18" s="13">
        <f>TEXT(MOD(TIMEVALUE(J5)+29/1440,1),"HH:MM")</f>
        <v/>
      </c>
      <c r="K18" s="13">
        <f>TEXT(MOD(TIMEVALUE(K5)+29/1440,1),"HH:MM")</f>
        <v/>
      </c>
      <c r="L18" s="13">
        <f>TEXT(MOD(TIMEVALUE(L5)+29/1440,1),"HH:MM")</f>
        <v/>
      </c>
      <c r="M18" s="13">
        <f>TEXT(MOD(TIMEVALUE(M5)+29/1440,1),"HH:MM")</f>
        <v/>
      </c>
      <c r="N18" s="13">
        <f>TEXT(MOD(TIMEVALUE(N5)+29/1440,1),"HH:MM")</f>
        <v/>
      </c>
      <c r="O18" s="13">
        <f>TEXT(MOD(TIMEVALUE(O5)+29/1440,1),"HH:MM")</f>
        <v/>
      </c>
      <c r="P18" s="13">
        <f>TEXT(MOD(TIMEVALUE(P5)+29/1440,1),"HH:MM")</f>
        <v/>
      </c>
      <c r="Q18" s="13">
        <f>TEXT(MOD(TIMEVALUE(Q5)+29/1440,1),"HH:MM")</f>
        <v/>
      </c>
      <c r="R18" s="13">
        <f>TEXT(MOD(TIMEVALUE(R5)+29/1440,1),"HH:MM")</f>
        <v/>
      </c>
      <c r="S18" s="13">
        <f>TEXT(MOD(TIMEVALUE(S5)+29/1440,1),"HH:MM")</f>
        <v/>
      </c>
      <c r="T18" s="13">
        <f>TEXT(MOD(TIMEVALUE(T5)+29/1440,1),"HH:MM")</f>
        <v/>
      </c>
      <c r="U18" s="13">
        <f>TEXT(MOD(TIMEVALUE(U5)+29/1440,1),"HH:MM")</f>
        <v/>
      </c>
      <c r="V18" s="13">
        <f>TEXT(MOD(TIMEVALUE(V5)+29/1440,1),"HH:MM")</f>
        <v/>
      </c>
      <c r="W18" s="13">
        <f>TEXT(MOD(TIMEVALUE(W5)+29/1440,1),"HH:MM")</f>
        <v/>
      </c>
      <c r="X18" s="13">
        <f>TEXT(MOD(TIMEVALUE(X5)+29/1440,1),"HH:MM")</f>
        <v/>
      </c>
      <c r="Y18" s="13">
        <f>TEXT(MOD(TIMEVALUE(Y5)+29/1440,1),"HH:MM")</f>
        <v/>
      </c>
      <c r="Z18" s="13">
        <f>TEXT(MOD(TIMEVALUE(Z5)+29/1440,1),"HH:MM")</f>
        <v/>
      </c>
      <c r="AA18" s="13">
        <f>TEXT(MOD(TIMEVALUE(AA5)+29/1440,1),"HH:MM")</f>
        <v/>
      </c>
      <c r="AB18" s="13">
        <f>TEXT(MOD(TIMEVALUE(AB5)+29/1440,1),"HH:MM")</f>
        <v/>
      </c>
      <c r="AC18" s="13">
        <f>TEXT(MOD(TIMEVALUE(AC5)+29/1440,1),"HH:MM")</f>
        <v/>
      </c>
      <c r="AD18" s="13">
        <f>TEXT(MOD(TIMEVALUE(AD5)+29/1440,1),"HH:MM")</f>
        <v/>
      </c>
      <c r="AE18" s="13">
        <f>TEXT(MOD(TIMEVALUE(AE5)+29/1440,1),"HH:MM")</f>
        <v/>
      </c>
      <c r="AF18" s="13">
        <f>TEXT(MOD(TIMEVALUE(AF5)+29/1440,1),"HH:MM")</f>
        <v/>
      </c>
      <c r="AG18" s="13">
        <f>TEXT(MOD(TIMEVALUE(AG5)+29/1440,1),"HH:MM")</f>
        <v/>
      </c>
      <c r="AH18" s="13">
        <f>TEXT(MOD(TIMEVALUE(AH5)+29/1440,1),"HH:MM")</f>
        <v/>
      </c>
      <c r="AI18" s="13">
        <f>TEXT(MOD(TIMEVALUE(AI5)+29/1440,1),"HH:MM")</f>
        <v/>
      </c>
      <c r="AJ18" s="13">
        <f>TEXT(MOD(TIMEVALUE(AJ5)+29/1440,1),"HH:MM")</f>
        <v/>
      </c>
      <c r="AK18" s="13">
        <f>TEXT(MOD(TIMEVALUE(AK5)+29/1440,1),"HH:MM")</f>
        <v/>
      </c>
      <c r="AL18" s="13">
        <f>TEXT(MOD(TIMEVALUE(AL5)+29/1440,1),"HH:MM")</f>
        <v/>
      </c>
      <c r="AM18" s="13">
        <f>TEXT(MOD(TIMEVALUE(AM5)+29/1440,1),"HH:MM")</f>
        <v/>
      </c>
    </row>
    <row r="19" ht="16.5" customHeight="1" s="26">
      <c r="A19" s="14" t="inlineStr">
        <is>
          <t>Lourdes</t>
        </is>
      </c>
      <c r="B19" s="15">
        <f>TEXT(MOD(TIMEVALUE(B5)+31/1440,1),"HH:MM")</f>
        <v/>
      </c>
      <c r="C19" s="15">
        <f>TEXT(MOD(TIMEVALUE(C5)+31/1440,1),"HH:MM")</f>
        <v/>
      </c>
      <c r="D19" s="15">
        <f>TEXT(MOD(TIMEVALUE(D5)+31/1440,1),"HH:MM")</f>
        <v/>
      </c>
      <c r="E19" s="15">
        <f>TEXT(MOD(TIMEVALUE(E5)+31/1440,1),"HH:MM")</f>
        <v/>
      </c>
      <c r="F19" s="15">
        <f>TEXT(MOD(TIMEVALUE(F5)+31/1440,1),"HH:MM")</f>
        <v/>
      </c>
      <c r="G19" s="15">
        <f>TEXT(MOD(TIMEVALUE(G5)+31/1440,1),"HH:MM")</f>
        <v/>
      </c>
      <c r="H19" s="15">
        <f>TEXT(MOD(TIMEVALUE(H5)+31/1440,1),"HH:MM")</f>
        <v/>
      </c>
      <c r="I19" s="15">
        <f>TEXT(MOD(TIMEVALUE(I5)+31/1440,1),"HH:MM")</f>
        <v/>
      </c>
      <c r="J19" s="15">
        <f>TEXT(MOD(TIMEVALUE(J5)+31/1440,1),"HH:MM")</f>
        <v/>
      </c>
      <c r="K19" s="15">
        <f>TEXT(MOD(TIMEVALUE(K5)+31/1440,1),"HH:MM")</f>
        <v/>
      </c>
      <c r="L19" s="15">
        <f>TEXT(MOD(TIMEVALUE(L5)+31/1440,1),"HH:MM")</f>
        <v/>
      </c>
      <c r="M19" s="15">
        <f>TEXT(MOD(TIMEVALUE(M5)+31/1440,1),"HH:MM")</f>
        <v/>
      </c>
      <c r="N19" s="15">
        <f>TEXT(MOD(TIMEVALUE(N5)+31/1440,1),"HH:MM")</f>
        <v/>
      </c>
      <c r="O19" s="15">
        <f>TEXT(MOD(TIMEVALUE(O5)+31/1440,1),"HH:MM")</f>
        <v/>
      </c>
      <c r="P19" s="15">
        <f>TEXT(MOD(TIMEVALUE(P5)+31/1440,1),"HH:MM")</f>
        <v/>
      </c>
      <c r="Q19" s="15">
        <f>TEXT(MOD(TIMEVALUE(Q5)+31/1440,1),"HH:MM")</f>
        <v/>
      </c>
      <c r="R19" s="15">
        <f>TEXT(MOD(TIMEVALUE(R5)+31/1440,1),"HH:MM")</f>
        <v/>
      </c>
      <c r="S19" s="15">
        <f>TEXT(MOD(TIMEVALUE(S5)+31/1440,1),"HH:MM")</f>
        <v/>
      </c>
      <c r="T19" s="15">
        <f>TEXT(MOD(TIMEVALUE(T5)+31/1440,1),"HH:MM")</f>
        <v/>
      </c>
      <c r="U19" s="15">
        <f>TEXT(MOD(TIMEVALUE(U5)+31/1440,1),"HH:MM")</f>
        <v/>
      </c>
      <c r="V19" s="15">
        <f>TEXT(MOD(TIMEVALUE(V5)+31/1440,1),"HH:MM")</f>
        <v/>
      </c>
      <c r="W19" s="15">
        <f>TEXT(MOD(TIMEVALUE(W5)+31/1440,1),"HH:MM")</f>
        <v/>
      </c>
      <c r="X19" s="15">
        <f>TEXT(MOD(TIMEVALUE(X5)+31/1440,1),"HH:MM")</f>
        <v/>
      </c>
      <c r="Y19" s="15">
        <f>TEXT(MOD(TIMEVALUE(Y5)+31/1440,1),"HH:MM")</f>
        <v/>
      </c>
      <c r="Z19" s="15">
        <f>TEXT(MOD(TIMEVALUE(Z5)+31/1440,1),"HH:MM")</f>
        <v/>
      </c>
      <c r="AA19" s="15">
        <f>TEXT(MOD(TIMEVALUE(AA5)+31/1440,1),"HH:MM")</f>
        <v/>
      </c>
      <c r="AB19" s="15">
        <f>TEXT(MOD(TIMEVALUE(AB5)+31/1440,1),"HH:MM")</f>
        <v/>
      </c>
      <c r="AC19" s="15">
        <f>TEXT(MOD(TIMEVALUE(AC5)+31/1440,1),"HH:MM")</f>
        <v/>
      </c>
      <c r="AD19" s="15">
        <f>TEXT(MOD(TIMEVALUE(AD5)+31/1440,1),"HH:MM")</f>
        <v/>
      </c>
      <c r="AE19" s="15">
        <f>TEXT(MOD(TIMEVALUE(AE5)+31/1440,1),"HH:MM")</f>
        <v/>
      </c>
      <c r="AF19" s="15">
        <f>TEXT(MOD(TIMEVALUE(AF5)+31/1440,1),"HH:MM")</f>
        <v/>
      </c>
      <c r="AG19" s="15">
        <f>TEXT(MOD(TIMEVALUE(AG5)+31/1440,1),"HH:MM")</f>
        <v/>
      </c>
      <c r="AH19" s="15">
        <f>TEXT(MOD(TIMEVALUE(AH5)+31/1440,1),"HH:MM")</f>
        <v/>
      </c>
      <c r="AI19" s="15">
        <f>TEXT(MOD(TIMEVALUE(AI5)+31/1440,1),"HH:MM")</f>
        <v/>
      </c>
      <c r="AJ19" s="15">
        <f>TEXT(MOD(TIMEVALUE(AJ5)+31/1440,1),"HH:MM")</f>
        <v/>
      </c>
      <c r="AK19" s="15">
        <f>TEXT(MOD(TIMEVALUE(AK5)+31/1440,1),"HH:MM")</f>
        <v/>
      </c>
      <c r="AL19" s="15">
        <f>TEXT(MOD(TIMEVALUE(AL5)+31/1440,1),"HH:MM")</f>
        <v/>
      </c>
      <c r="AM19" s="15">
        <f>TEXT(MOD(TIMEVALUE(AM5)+31/1440,1),"HH:MM")</f>
        <v/>
      </c>
    </row>
    <row r="20" ht="16.5" customHeight="1" s="26">
      <c r="A20" s="12" t="inlineStr">
        <is>
          <t>Fernández Moreno</t>
        </is>
      </c>
      <c r="B20" s="13">
        <f>TEXT(MOD(TIMEVALUE(B5)+33/1440,1),"HH:MM")</f>
        <v/>
      </c>
      <c r="C20" s="13">
        <f>TEXT(MOD(TIMEVALUE(C5)+33/1440,1),"HH:MM")</f>
        <v/>
      </c>
      <c r="D20" s="13">
        <f>TEXT(MOD(TIMEVALUE(D5)+33/1440,1),"HH:MM")</f>
        <v/>
      </c>
      <c r="E20" s="13">
        <f>TEXT(MOD(TIMEVALUE(E5)+33/1440,1),"HH:MM")</f>
        <v/>
      </c>
      <c r="F20" s="13">
        <f>TEXT(MOD(TIMEVALUE(F5)+33/1440,1),"HH:MM")</f>
        <v/>
      </c>
      <c r="G20" s="13">
        <f>TEXT(MOD(TIMEVALUE(G5)+33/1440,1),"HH:MM")</f>
        <v/>
      </c>
      <c r="H20" s="13">
        <f>TEXT(MOD(TIMEVALUE(H5)+33/1440,1),"HH:MM")</f>
        <v/>
      </c>
      <c r="I20" s="13">
        <f>TEXT(MOD(TIMEVALUE(I5)+33/1440,1),"HH:MM")</f>
        <v/>
      </c>
      <c r="J20" s="13">
        <f>TEXT(MOD(TIMEVALUE(J5)+33/1440,1),"HH:MM")</f>
        <v/>
      </c>
      <c r="K20" s="13">
        <f>TEXT(MOD(TIMEVALUE(K5)+33/1440,1),"HH:MM")</f>
        <v/>
      </c>
      <c r="L20" s="13">
        <f>TEXT(MOD(TIMEVALUE(L5)+33/1440,1),"HH:MM")</f>
        <v/>
      </c>
      <c r="M20" s="13">
        <f>TEXT(MOD(TIMEVALUE(M5)+33/1440,1),"HH:MM")</f>
        <v/>
      </c>
      <c r="N20" s="13">
        <f>TEXT(MOD(TIMEVALUE(N5)+33/1440,1),"HH:MM")</f>
        <v/>
      </c>
      <c r="O20" s="13">
        <f>TEXT(MOD(TIMEVALUE(O5)+33/1440,1),"HH:MM")</f>
        <v/>
      </c>
      <c r="P20" s="13">
        <f>TEXT(MOD(TIMEVALUE(P5)+33/1440,1),"HH:MM")</f>
        <v/>
      </c>
      <c r="Q20" s="13">
        <f>TEXT(MOD(TIMEVALUE(Q5)+33/1440,1),"HH:MM")</f>
        <v/>
      </c>
      <c r="R20" s="13">
        <f>TEXT(MOD(TIMEVALUE(R5)+33/1440,1),"HH:MM")</f>
        <v/>
      </c>
      <c r="S20" s="13">
        <f>TEXT(MOD(TIMEVALUE(S5)+33/1440,1),"HH:MM")</f>
        <v/>
      </c>
      <c r="T20" s="13">
        <f>TEXT(MOD(TIMEVALUE(T5)+33/1440,1),"HH:MM")</f>
        <v/>
      </c>
      <c r="U20" s="13">
        <f>TEXT(MOD(TIMEVALUE(U5)+33/1440,1),"HH:MM")</f>
        <v/>
      </c>
      <c r="V20" s="13">
        <f>TEXT(MOD(TIMEVALUE(V5)+33/1440,1),"HH:MM")</f>
        <v/>
      </c>
      <c r="W20" s="13">
        <f>TEXT(MOD(TIMEVALUE(W5)+33/1440,1),"HH:MM")</f>
        <v/>
      </c>
      <c r="X20" s="13">
        <f>TEXT(MOD(TIMEVALUE(X5)+33/1440,1),"HH:MM")</f>
        <v/>
      </c>
      <c r="Y20" s="13">
        <f>TEXT(MOD(TIMEVALUE(Y5)+33/1440,1),"HH:MM")</f>
        <v/>
      </c>
      <c r="Z20" s="13">
        <f>TEXT(MOD(TIMEVALUE(Z5)+33/1440,1),"HH:MM")</f>
        <v/>
      </c>
      <c r="AA20" s="13">
        <f>TEXT(MOD(TIMEVALUE(AA5)+33/1440,1),"HH:MM")</f>
        <v/>
      </c>
      <c r="AB20" s="13">
        <f>TEXT(MOD(TIMEVALUE(AB5)+33/1440,1),"HH:MM")</f>
        <v/>
      </c>
      <c r="AC20" s="13">
        <f>TEXT(MOD(TIMEVALUE(AC5)+33/1440,1),"HH:MM")</f>
        <v/>
      </c>
      <c r="AD20" s="13">
        <f>TEXT(MOD(TIMEVALUE(AD5)+33/1440,1),"HH:MM")</f>
        <v/>
      </c>
      <c r="AE20" s="13">
        <f>TEXT(MOD(TIMEVALUE(AE5)+33/1440,1),"HH:MM")</f>
        <v/>
      </c>
      <c r="AF20" s="13">
        <f>TEXT(MOD(TIMEVALUE(AF5)+33/1440,1),"HH:MM")</f>
        <v/>
      </c>
      <c r="AG20" s="13">
        <f>TEXT(MOD(TIMEVALUE(AG5)+33/1440,1),"HH:MM")</f>
        <v/>
      </c>
      <c r="AH20" s="13">
        <f>TEXT(MOD(TIMEVALUE(AH5)+33/1440,1),"HH:MM")</f>
        <v/>
      </c>
      <c r="AI20" s="13">
        <f>TEXT(MOD(TIMEVALUE(AI5)+33/1440,1),"HH:MM")</f>
        <v/>
      </c>
      <c r="AJ20" s="13">
        <f>TEXT(MOD(TIMEVALUE(AJ5)+33/1440,1),"HH:MM")</f>
        <v/>
      </c>
      <c r="AK20" s="13">
        <f>TEXT(MOD(TIMEVALUE(AK5)+33/1440,1),"HH:MM")</f>
        <v/>
      </c>
      <c r="AL20" s="13">
        <f>TEXT(MOD(TIMEVALUE(AL5)+33/1440,1),"HH:MM")</f>
        <v/>
      </c>
      <c r="AM20" s="13">
        <f>TEXT(MOD(TIMEVALUE(AM5)+33/1440,1),"HH:MM")</f>
        <v/>
      </c>
    </row>
    <row r="21" ht="16.5" customHeight="1" s="26">
      <c r="A21" s="14" t="inlineStr">
        <is>
          <t>Cnel. Fco. Lynch</t>
        </is>
      </c>
      <c r="B21" s="15">
        <f>TEXT(MOD(TIMEVALUE(B5)+35/1440,1),"HH:MM")</f>
        <v/>
      </c>
      <c r="C21" s="15">
        <f>TEXT(MOD(TIMEVALUE(C5)+35/1440,1),"HH:MM")</f>
        <v/>
      </c>
      <c r="D21" s="15">
        <f>TEXT(MOD(TIMEVALUE(D5)+35/1440,1),"HH:MM")</f>
        <v/>
      </c>
      <c r="E21" s="15">
        <f>TEXT(MOD(TIMEVALUE(E5)+35/1440,1),"HH:MM")</f>
        <v/>
      </c>
      <c r="F21" s="15">
        <f>TEXT(MOD(TIMEVALUE(F5)+35/1440,1),"HH:MM")</f>
        <v/>
      </c>
      <c r="G21" s="15">
        <f>TEXT(MOD(TIMEVALUE(G5)+35/1440,1),"HH:MM")</f>
        <v/>
      </c>
      <c r="H21" s="15">
        <f>TEXT(MOD(TIMEVALUE(H5)+35/1440,1),"HH:MM")</f>
        <v/>
      </c>
      <c r="I21" s="15">
        <f>TEXT(MOD(TIMEVALUE(I5)+35/1440,1),"HH:MM")</f>
        <v/>
      </c>
      <c r="J21" s="15">
        <f>TEXT(MOD(TIMEVALUE(J5)+35/1440,1),"HH:MM")</f>
        <v/>
      </c>
      <c r="K21" s="15">
        <f>TEXT(MOD(TIMEVALUE(K5)+35/1440,1),"HH:MM")</f>
        <v/>
      </c>
      <c r="L21" s="15">
        <f>TEXT(MOD(TIMEVALUE(L5)+35/1440,1),"HH:MM")</f>
        <v/>
      </c>
      <c r="M21" s="15">
        <f>TEXT(MOD(TIMEVALUE(M5)+35/1440,1),"HH:MM")</f>
        <v/>
      </c>
      <c r="N21" s="15">
        <f>TEXT(MOD(TIMEVALUE(N5)+35/1440,1),"HH:MM")</f>
        <v/>
      </c>
      <c r="O21" s="15">
        <f>TEXT(MOD(TIMEVALUE(O5)+35/1440,1),"HH:MM")</f>
        <v/>
      </c>
      <c r="P21" s="15">
        <f>TEXT(MOD(TIMEVALUE(P5)+35/1440,1),"HH:MM")</f>
        <v/>
      </c>
      <c r="Q21" s="15">
        <f>TEXT(MOD(TIMEVALUE(Q5)+35/1440,1),"HH:MM")</f>
        <v/>
      </c>
      <c r="R21" s="15">
        <f>TEXT(MOD(TIMEVALUE(R5)+35/1440,1),"HH:MM")</f>
        <v/>
      </c>
      <c r="S21" s="15">
        <f>TEXT(MOD(TIMEVALUE(S5)+35/1440,1),"HH:MM")</f>
        <v/>
      </c>
      <c r="T21" s="15">
        <f>TEXT(MOD(TIMEVALUE(T5)+35/1440,1),"HH:MM")</f>
        <v/>
      </c>
      <c r="U21" s="15">
        <f>TEXT(MOD(TIMEVALUE(U5)+35/1440,1),"HH:MM")</f>
        <v/>
      </c>
      <c r="V21" s="15">
        <f>TEXT(MOD(TIMEVALUE(V5)+35/1440,1),"HH:MM")</f>
        <v/>
      </c>
      <c r="W21" s="15">
        <f>TEXT(MOD(TIMEVALUE(W5)+35/1440,1),"HH:MM")</f>
        <v/>
      </c>
      <c r="X21" s="15">
        <f>TEXT(MOD(TIMEVALUE(X5)+35/1440,1),"HH:MM")</f>
        <v/>
      </c>
      <c r="Y21" s="15">
        <f>TEXT(MOD(TIMEVALUE(Y5)+35/1440,1),"HH:MM")</f>
        <v/>
      </c>
      <c r="Z21" s="15">
        <f>TEXT(MOD(TIMEVALUE(Z5)+35/1440,1),"HH:MM")</f>
        <v/>
      </c>
      <c r="AA21" s="15">
        <f>TEXT(MOD(TIMEVALUE(AA5)+35/1440,1),"HH:MM")</f>
        <v/>
      </c>
      <c r="AB21" s="15">
        <f>TEXT(MOD(TIMEVALUE(AB5)+35/1440,1),"HH:MM")</f>
        <v/>
      </c>
      <c r="AC21" s="15">
        <f>TEXT(MOD(TIMEVALUE(AC5)+35/1440,1),"HH:MM")</f>
        <v/>
      </c>
      <c r="AD21" s="15">
        <f>TEXT(MOD(TIMEVALUE(AD5)+35/1440,1),"HH:MM")</f>
        <v/>
      </c>
      <c r="AE21" s="15">
        <f>TEXT(MOD(TIMEVALUE(AE5)+35/1440,1),"HH:MM")</f>
        <v/>
      </c>
      <c r="AF21" s="15">
        <f>TEXT(MOD(TIMEVALUE(AF5)+35/1440,1),"HH:MM")</f>
        <v/>
      </c>
      <c r="AG21" s="15">
        <f>TEXT(MOD(TIMEVALUE(AG5)+35/1440,1),"HH:MM")</f>
        <v/>
      </c>
      <c r="AH21" s="15">
        <f>TEXT(MOD(TIMEVALUE(AH5)+35/1440,1),"HH:MM")</f>
        <v/>
      </c>
      <c r="AI21" s="15">
        <f>TEXT(MOD(TIMEVALUE(AI5)+35/1440,1),"HH:MM")</f>
        <v/>
      </c>
      <c r="AJ21" s="15">
        <f>TEXT(MOD(TIMEVALUE(AJ5)+35/1440,1),"HH:MM")</f>
        <v/>
      </c>
      <c r="AK21" s="15">
        <f>TEXT(MOD(TIMEVALUE(AK5)+35/1440,1),"HH:MM")</f>
        <v/>
      </c>
      <c r="AL21" s="15">
        <f>TEXT(MOD(TIMEVALUE(AL5)+35/1440,1),"HH:MM")</f>
        <v/>
      </c>
      <c r="AM21" s="15">
        <f>TEXT(MOD(TIMEVALUE(AM5)+35/1440,1),"HH:MM")</f>
        <v/>
      </c>
    </row>
    <row r="22" ht="16.5" customHeight="1" s="26">
      <c r="A22" s="12" t="inlineStr">
        <is>
          <t>Antonio Devoto</t>
        </is>
      </c>
      <c r="B22" s="13">
        <f>TEXT(MOD(TIMEVALUE(B5)+37/1440,1),"HH:MM")</f>
        <v/>
      </c>
      <c r="C22" s="13">
        <f>TEXT(MOD(TIMEVALUE(C5)+37/1440,1),"HH:MM")</f>
        <v/>
      </c>
      <c r="D22" s="13">
        <f>TEXT(MOD(TIMEVALUE(D5)+37/1440,1),"HH:MM")</f>
        <v/>
      </c>
      <c r="E22" s="13">
        <f>TEXT(MOD(TIMEVALUE(E5)+37/1440,1),"HH:MM")</f>
        <v/>
      </c>
      <c r="F22" s="13">
        <f>TEXT(MOD(TIMEVALUE(F5)+37/1440,1),"HH:MM")</f>
        <v/>
      </c>
      <c r="G22" s="13">
        <f>TEXT(MOD(TIMEVALUE(G5)+37/1440,1),"HH:MM")</f>
        <v/>
      </c>
      <c r="H22" s="13">
        <f>TEXT(MOD(TIMEVALUE(H5)+37/1440,1),"HH:MM")</f>
        <v/>
      </c>
      <c r="I22" s="13">
        <f>TEXT(MOD(TIMEVALUE(I5)+37/1440,1),"HH:MM")</f>
        <v/>
      </c>
      <c r="J22" s="13">
        <f>TEXT(MOD(TIMEVALUE(J5)+37/1440,1),"HH:MM")</f>
        <v/>
      </c>
      <c r="K22" s="13">
        <f>TEXT(MOD(TIMEVALUE(K5)+37/1440,1),"HH:MM")</f>
        <v/>
      </c>
      <c r="L22" s="13">
        <f>TEXT(MOD(TIMEVALUE(L5)+37/1440,1),"HH:MM")</f>
        <v/>
      </c>
      <c r="M22" s="13">
        <f>TEXT(MOD(TIMEVALUE(M5)+37/1440,1),"HH:MM")</f>
        <v/>
      </c>
      <c r="N22" s="13">
        <f>TEXT(MOD(TIMEVALUE(N5)+37/1440,1),"HH:MM")</f>
        <v/>
      </c>
      <c r="O22" s="13">
        <f>TEXT(MOD(TIMEVALUE(O5)+37/1440,1),"HH:MM")</f>
        <v/>
      </c>
      <c r="P22" s="13">
        <f>TEXT(MOD(TIMEVALUE(P5)+37/1440,1),"HH:MM")</f>
        <v/>
      </c>
      <c r="Q22" s="13">
        <f>TEXT(MOD(TIMEVALUE(Q5)+37/1440,1),"HH:MM")</f>
        <v/>
      </c>
      <c r="R22" s="13">
        <f>TEXT(MOD(TIMEVALUE(R5)+37/1440,1),"HH:MM")</f>
        <v/>
      </c>
      <c r="S22" s="13">
        <f>TEXT(MOD(TIMEVALUE(S5)+37/1440,1),"HH:MM")</f>
        <v/>
      </c>
      <c r="T22" s="13">
        <f>TEXT(MOD(TIMEVALUE(T5)+37/1440,1),"HH:MM")</f>
        <v/>
      </c>
      <c r="U22" s="13">
        <f>TEXT(MOD(TIMEVALUE(U5)+37/1440,1),"HH:MM")</f>
        <v/>
      </c>
      <c r="V22" s="13">
        <f>TEXT(MOD(TIMEVALUE(V5)+37/1440,1),"HH:MM")</f>
        <v/>
      </c>
      <c r="W22" s="13">
        <f>TEXT(MOD(TIMEVALUE(W5)+37/1440,1),"HH:MM")</f>
        <v/>
      </c>
      <c r="X22" s="13">
        <f>TEXT(MOD(TIMEVALUE(X5)+37/1440,1),"HH:MM")</f>
        <v/>
      </c>
      <c r="Y22" s="13">
        <f>TEXT(MOD(TIMEVALUE(Y5)+37/1440,1),"HH:MM")</f>
        <v/>
      </c>
      <c r="Z22" s="13">
        <f>TEXT(MOD(TIMEVALUE(Z5)+37/1440,1),"HH:MM")</f>
        <v/>
      </c>
      <c r="AA22" s="13">
        <f>TEXT(MOD(TIMEVALUE(AA5)+37/1440,1),"HH:MM")</f>
        <v/>
      </c>
      <c r="AB22" s="13">
        <f>TEXT(MOD(TIMEVALUE(AB5)+37/1440,1),"HH:MM")</f>
        <v/>
      </c>
      <c r="AC22" s="13">
        <f>TEXT(MOD(TIMEVALUE(AC5)+37/1440,1),"HH:MM")</f>
        <v/>
      </c>
      <c r="AD22" s="13">
        <f>TEXT(MOD(TIMEVALUE(AD5)+37/1440,1),"HH:MM")</f>
        <v/>
      </c>
      <c r="AE22" s="13">
        <f>TEXT(MOD(TIMEVALUE(AE5)+37/1440,1),"HH:MM")</f>
        <v/>
      </c>
      <c r="AF22" s="13">
        <f>TEXT(MOD(TIMEVALUE(AF5)+37/1440,1),"HH:MM")</f>
        <v/>
      </c>
      <c r="AG22" s="13">
        <f>TEXT(MOD(TIMEVALUE(AG5)+37/1440,1),"HH:MM")</f>
        <v/>
      </c>
      <c r="AH22" s="13">
        <f>TEXT(MOD(TIMEVALUE(AH5)+37/1440,1),"HH:MM")</f>
        <v/>
      </c>
      <c r="AI22" s="13">
        <f>TEXT(MOD(TIMEVALUE(AI5)+37/1440,1),"HH:MM")</f>
        <v/>
      </c>
      <c r="AJ22" s="13">
        <f>TEXT(MOD(TIMEVALUE(AJ5)+37/1440,1),"HH:MM")</f>
        <v/>
      </c>
      <c r="AK22" s="13">
        <f>TEXT(MOD(TIMEVALUE(AK5)+37/1440,1),"HH:MM")</f>
        <v/>
      </c>
      <c r="AL22" s="13">
        <f>TEXT(MOD(TIMEVALUE(AL5)+37/1440,1),"HH:MM")</f>
        <v/>
      </c>
      <c r="AM22" s="13">
        <f>TEXT(MOD(TIMEVALUE(AM5)+37/1440,1),"HH:MM")</f>
        <v/>
      </c>
    </row>
    <row r="23" ht="16.5" customHeight="1" s="26">
      <c r="A23" s="14" t="inlineStr">
        <is>
          <t>El Libertador</t>
        </is>
      </c>
      <c r="B23" s="15">
        <f>TEXT(MOD(TIMEVALUE(B5)+38/1440,1),"HH:MM")</f>
        <v/>
      </c>
      <c r="C23" s="15">
        <f>TEXT(MOD(TIMEVALUE(C5)+38/1440,1),"HH:MM")</f>
        <v/>
      </c>
      <c r="D23" s="15">
        <f>TEXT(MOD(TIMEVALUE(D5)+38/1440,1),"HH:MM")</f>
        <v/>
      </c>
      <c r="E23" s="15">
        <f>TEXT(MOD(TIMEVALUE(E5)+38/1440,1),"HH:MM")</f>
        <v/>
      </c>
      <c r="F23" s="15">
        <f>TEXT(MOD(TIMEVALUE(F5)+38/1440,1),"HH:MM")</f>
        <v/>
      </c>
      <c r="G23" s="15">
        <f>TEXT(MOD(TIMEVALUE(G5)+38/1440,1),"HH:MM")</f>
        <v/>
      </c>
      <c r="H23" s="15">
        <f>TEXT(MOD(TIMEVALUE(H5)+38/1440,1),"HH:MM")</f>
        <v/>
      </c>
      <c r="I23" s="15">
        <f>TEXT(MOD(TIMEVALUE(I5)+38/1440,1),"HH:MM")</f>
        <v/>
      </c>
      <c r="J23" s="15">
        <f>TEXT(MOD(TIMEVALUE(J5)+38/1440,1),"HH:MM")</f>
        <v/>
      </c>
      <c r="K23" s="15">
        <f>TEXT(MOD(TIMEVALUE(K5)+38/1440,1),"HH:MM")</f>
        <v/>
      </c>
      <c r="L23" s="15">
        <f>TEXT(MOD(TIMEVALUE(L5)+38/1440,1),"HH:MM")</f>
        <v/>
      </c>
      <c r="M23" s="15">
        <f>TEXT(MOD(TIMEVALUE(M5)+38/1440,1),"HH:MM")</f>
        <v/>
      </c>
      <c r="N23" s="15">
        <f>TEXT(MOD(TIMEVALUE(N5)+38/1440,1),"HH:MM")</f>
        <v/>
      </c>
      <c r="O23" s="15">
        <f>TEXT(MOD(TIMEVALUE(O5)+38/1440,1),"HH:MM")</f>
        <v/>
      </c>
      <c r="P23" s="15">
        <f>TEXT(MOD(TIMEVALUE(P5)+38/1440,1),"HH:MM")</f>
        <v/>
      </c>
      <c r="Q23" s="15">
        <f>TEXT(MOD(TIMEVALUE(Q5)+38/1440,1),"HH:MM")</f>
        <v/>
      </c>
      <c r="R23" s="15">
        <f>TEXT(MOD(TIMEVALUE(R5)+38/1440,1),"HH:MM")</f>
        <v/>
      </c>
      <c r="S23" s="15">
        <f>TEXT(MOD(TIMEVALUE(S5)+38/1440,1),"HH:MM")</f>
        <v/>
      </c>
      <c r="T23" s="15">
        <f>TEXT(MOD(TIMEVALUE(T5)+38/1440,1),"HH:MM")</f>
        <v/>
      </c>
      <c r="U23" s="15">
        <f>TEXT(MOD(TIMEVALUE(U5)+38/1440,1),"HH:MM")</f>
        <v/>
      </c>
      <c r="V23" s="15">
        <f>TEXT(MOD(TIMEVALUE(V5)+38/1440,1),"HH:MM")</f>
        <v/>
      </c>
      <c r="W23" s="15">
        <f>TEXT(MOD(TIMEVALUE(W5)+38/1440,1),"HH:MM")</f>
        <v/>
      </c>
      <c r="X23" s="15">
        <f>TEXT(MOD(TIMEVALUE(X5)+38/1440,1),"HH:MM")</f>
        <v/>
      </c>
      <c r="Y23" s="15">
        <f>TEXT(MOD(TIMEVALUE(Y5)+38/1440,1),"HH:MM")</f>
        <v/>
      </c>
      <c r="Z23" s="15">
        <f>TEXT(MOD(TIMEVALUE(Z5)+38/1440,1),"HH:MM")</f>
        <v/>
      </c>
      <c r="AA23" s="15">
        <f>TEXT(MOD(TIMEVALUE(AA5)+38/1440,1),"HH:MM")</f>
        <v/>
      </c>
      <c r="AB23" s="15">
        <f>TEXT(MOD(TIMEVALUE(AB5)+38/1440,1),"HH:MM")</f>
        <v/>
      </c>
      <c r="AC23" s="15">
        <f>TEXT(MOD(TIMEVALUE(AC5)+38/1440,1),"HH:MM")</f>
        <v/>
      </c>
      <c r="AD23" s="15">
        <f>TEXT(MOD(TIMEVALUE(AD5)+38/1440,1),"HH:MM")</f>
        <v/>
      </c>
      <c r="AE23" s="15">
        <f>TEXT(MOD(TIMEVALUE(AE5)+38/1440,1),"HH:MM")</f>
        <v/>
      </c>
      <c r="AF23" s="15">
        <f>TEXT(MOD(TIMEVALUE(AF5)+38/1440,1),"HH:MM")</f>
        <v/>
      </c>
      <c r="AG23" s="15">
        <f>TEXT(MOD(TIMEVALUE(AG5)+38/1440,1),"HH:MM")</f>
        <v/>
      </c>
      <c r="AH23" s="15">
        <f>TEXT(MOD(TIMEVALUE(AH5)+38/1440,1),"HH:MM")</f>
        <v/>
      </c>
      <c r="AI23" s="15">
        <f>TEXT(MOD(TIMEVALUE(AI5)+38/1440,1),"HH:MM")</f>
        <v/>
      </c>
      <c r="AJ23" s="15">
        <f>TEXT(MOD(TIMEVALUE(AJ5)+38/1440,1),"HH:MM")</f>
        <v/>
      </c>
      <c r="AK23" s="15">
        <f>TEXT(MOD(TIMEVALUE(AK5)+38/1440,1),"HH:MM")</f>
        <v/>
      </c>
      <c r="AL23" s="15">
        <f>TEXT(MOD(TIMEVALUE(AL5)+38/1440,1),"HH:MM")</f>
        <v/>
      </c>
      <c r="AM23" s="15">
        <f>TEXT(MOD(TIMEVALUE(AM5)+38/1440,1),"HH:MM")</f>
        <v/>
      </c>
    </row>
    <row r="24" ht="16.5" customHeight="1" s="26">
      <c r="A24" s="12" t="inlineStr">
        <is>
          <t>Dr. Fco. Beiró</t>
        </is>
      </c>
      <c r="B24" s="13">
        <f>TEXT(MOD(TIMEVALUE(B5)+39/1440,1),"HH:MM")</f>
        <v/>
      </c>
      <c r="C24" s="13">
        <f>TEXT(MOD(TIMEVALUE(C5)+39/1440,1),"HH:MM")</f>
        <v/>
      </c>
      <c r="D24" s="13">
        <f>TEXT(MOD(TIMEVALUE(D5)+39/1440,1),"HH:MM")</f>
        <v/>
      </c>
      <c r="E24" s="13">
        <f>TEXT(MOD(TIMEVALUE(E5)+39/1440,1),"HH:MM")</f>
        <v/>
      </c>
      <c r="F24" s="13">
        <f>TEXT(MOD(TIMEVALUE(F5)+39/1440,1),"HH:MM")</f>
        <v/>
      </c>
      <c r="G24" s="13">
        <f>TEXT(MOD(TIMEVALUE(G5)+39/1440,1),"HH:MM")</f>
        <v/>
      </c>
      <c r="H24" s="13">
        <f>TEXT(MOD(TIMEVALUE(H5)+39/1440,1),"HH:MM")</f>
        <v/>
      </c>
      <c r="I24" s="13">
        <f>TEXT(MOD(TIMEVALUE(I5)+39/1440,1),"HH:MM")</f>
        <v/>
      </c>
      <c r="J24" s="13">
        <f>TEXT(MOD(TIMEVALUE(J5)+39/1440,1),"HH:MM")</f>
        <v/>
      </c>
      <c r="K24" s="13">
        <f>TEXT(MOD(TIMEVALUE(K5)+39/1440,1),"HH:MM")</f>
        <v/>
      </c>
      <c r="L24" s="13">
        <f>TEXT(MOD(TIMEVALUE(L5)+39/1440,1),"HH:MM")</f>
        <v/>
      </c>
      <c r="M24" s="13">
        <f>TEXT(MOD(TIMEVALUE(M5)+39/1440,1),"HH:MM")</f>
        <v/>
      </c>
      <c r="N24" s="13">
        <f>TEXT(MOD(TIMEVALUE(N5)+39/1440,1),"HH:MM")</f>
        <v/>
      </c>
      <c r="O24" s="13">
        <f>TEXT(MOD(TIMEVALUE(O5)+39/1440,1),"HH:MM")</f>
        <v/>
      </c>
      <c r="P24" s="13">
        <f>TEXT(MOD(TIMEVALUE(P5)+39/1440,1),"HH:MM")</f>
        <v/>
      </c>
      <c r="Q24" s="13">
        <f>TEXT(MOD(TIMEVALUE(Q5)+39/1440,1),"HH:MM")</f>
        <v/>
      </c>
      <c r="R24" s="13">
        <f>TEXT(MOD(TIMEVALUE(R5)+39/1440,1),"HH:MM")</f>
        <v/>
      </c>
      <c r="S24" s="13">
        <f>TEXT(MOD(TIMEVALUE(S5)+39/1440,1),"HH:MM")</f>
        <v/>
      </c>
      <c r="T24" s="13">
        <f>TEXT(MOD(TIMEVALUE(T5)+39/1440,1),"HH:MM")</f>
        <v/>
      </c>
      <c r="U24" s="13">
        <f>TEXT(MOD(TIMEVALUE(U5)+39/1440,1),"HH:MM")</f>
        <v/>
      </c>
      <c r="V24" s="13">
        <f>TEXT(MOD(TIMEVALUE(V5)+39/1440,1),"HH:MM")</f>
        <v/>
      </c>
      <c r="W24" s="13">
        <f>TEXT(MOD(TIMEVALUE(W5)+39/1440,1),"HH:MM")</f>
        <v/>
      </c>
      <c r="X24" s="13">
        <f>TEXT(MOD(TIMEVALUE(X5)+39/1440,1),"HH:MM")</f>
        <v/>
      </c>
      <c r="Y24" s="13">
        <f>TEXT(MOD(TIMEVALUE(Y5)+39/1440,1),"HH:MM")</f>
        <v/>
      </c>
      <c r="Z24" s="13">
        <f>TEXT(MOD(TIMEVALUE(Z5)+39/1440,1),"HH:MM")</f>
        <v/>
      </c>
      <c r="AA24" s="13">
        <f>TEXT(MOD(TIMEVALUE(AA5)+39/1440,1),"HH:MM")</f>
        <v/>
      </c>
      <c r="AB24" s="13">
        <f>TEXT(MOD(TIMEVALUE(AB5)+39/1440,1),"HH:MM")</f>
        <v/>
      </c>
      <c r="AC24" s="13">
        <f>TEXT(MOD(TIMEVALUE(AC5)+39/1440,1),"HH:MM")</f>
        <v/>
      </c>
      <c r="AD24" s="13">
        <f>TEXT(MOD(TIMEVALUE(AD5)+39/1440,1),"HH:MM")</f>
        <v/>
      </c>
      <c r="AE24" s="13">
        <f>TEXT(MOD(TIMEVALUE(AE5)+39/1440,1),"HH:MM")</f>
        <v/>
      </c>
      <c r="AF24" s="13">
        <f>TEXT(MOD(TIMEVALUE(AF5)+39/1440,1),"HH:MM")</f>
        <v/>
      </c>
      <c r="AG24" s="13">
        <f>TEXT(MOD(TIMEVALUE(AG5)+39/1440,1),"HH:MM")</f>
        <v/>
      </c>
      <c r="AH24" s="13">
        <f>TEXT(MOD(TIMEVALUE(AH5)+39/1440,1),"HH:MM")</f>
        <v/>
      </c>
      <c r="AI24" s="13">
        <f>TEXT(MOD(TIMEVALUE(AI5)+39/1440,1),"HH:MM")</f>
        <v/>
      </c>
      <c r="AJ24" s="13">
        <f>TEXT(MOD(TIMEVALUE(AJ5)+39/1440,1),"HH:MM")</f>
        <v/>
      </c>
      <c r="AK24" s="13">
        <f>TEXT(MOD(TIMEVALUE(AK5)+39/1440,1),"HH:MM")</f>
        <v/>
      </c>
      <c r="AL24" s="13">
        <f>TEXT(MOD(TIMEVALUE(AL5)+39/1440,1),"HH:MM")</f>
        <v/>
      </c>
      <c r="AM24" s="13">
        <f>TEXT(MOD(TIMEVALUE(AM5)+39/1440,1),"HH:MM")</f>
        <v/>
      </c>
    </row>
    <row r="25" ht="16.5" customHeight="1" s="26">
      <c r="A25" s="14" t="inlineStr">
        <is>
          <t>Pedro N. Arata</t>
        </is>
      </c>
      <c r="B25" s="15">
        <f>TEXT(MOD(TIMEVALUE(B5)+42/1440,1),"HH:MM")</f>
        <v/>
      </c>
      <c r="C25" s="15">
        <f>TEXT(MOD(TIMEVALUE(C5)+42/1440,1),"HH:MM")</f>
        <v/>
      </c>
      <c r="D25" s="15">
        <f>TEXT(MOD(TIMEVALUE(D5)+42/1440,1),"HH:MM")</f>
        <v/>
      </c>
      <c r="E25" s="15">
        <f>TEXT(MOD(TIMEVALUE(E5)+42/1440,1),"HH:MM")</f>
        <v/>
      </c>
      <c r="F25" s="15">
        <f>TEXT(MOD(TIMEVALUE(F5)+42/1440,1),"HH:MM")</f>
        <v/>
      </c>
      <c r="G25" s="15">
        <f>TEXT(MOD(TIMEVALUE(G5)+42/1440,1),"HH:MM")</f>
        <v/>
      </c>
      <c r="H25" s="15">
        <f>TEXT(MOD(TIMEVALUE(H5)+42/1440,1),"HH:MM")</f>
        <v/>
      </c>
      <c r="I25" s="15">
        <f>TEXT(MOD(TIMEVALUE(I5)+42/1440,1),"HH:MM")</f>
        <v/>
      </c>
      <c r="J25" s="15">
        <f>TEXT(MOD(TIMEVALUE(J5)+42/1440,1),"HH:MM")</f>
        <v/>
      </c>
      <c r="K25" s="15">
        <f>TEXT(MOD(TIMEVALUE(K5)+42/1440,1),"HH:MM")</f>
        <v/>
      </c>
      <c r="L25" s="15">
        <f>TEXT(MOD(TIMEVALUE(L5)+42/1440,1),"HH:MM")</f>
        <v/>
      </c>
      <c r="M25" s="15">
        <f>TEXT(MOD(TIMEVALUE(M5)+42/1440,1),"HH:MM")</f>
        <v/>
      </c>
      <c r="N25" s="15">
        <f>TEXT(MOD(TIMEVALUE(N5)+42/1440,1),"HH:MM")</f>
        <v/>
      </c>
      <c r="O25" s="15">
        <f>TEXT(MOD(TIMEVALUE(O5)+42/1440,1),"HH:MM")</f>
        <v/>
      </c>
      <c r="P25" s="15">
        <f>TEXT(MOD(TIMEVALUE(P5)+42/1440,1),"HH:MM")</f>
        <v/>
      </c>
      <c r="Q25" s="15">
        <f>TEXT(MOD(TIMEVALUE(Q5)+42/1440,1),"HH:MM")</f>
        <v/>
      </c>
      <c r="R25" s="15">
        <f>TEXT(MOD(TIMEVALUE(R5)+42/1440,1),"HH:MM")</f>
        <v/>
      </c>
      <c r="S25" s="15">
        <f>TEXT(MOD(TIMEVALUE(S5)+42/1440,1),"HH:MM")</f>
        <v/>
      </c>
      <c r="T25" s="15">
        <f>TEXT(MOD(TIMEVALUE(T5)+42/1440,1),"HH:MM")</f>
        <v/>
      </c>
      <c r="U25" s="15">
        <f>TEXT(MOD(TIMEVALUE(U5)+42/1440,1),"HH:MM")</f>
        <v/>
      </c>
      <c r="V25" s="15">
        <f>TEXT(MOD(TIMEVALUE(V5)+42/1440,1),"HH:MM")</f>
        <v/>
      </c>
      <c r="W25" s="15">
        <f>TEXT(MOD(TIMEVALUE(W5)+42/1440,1),"HH:MM")</f>
        <v/>
      </c>
      <c r="X25" s="15">
        <f>TEXT(MOD(TIMEVALUE(X5)+42/1440,1),"HH:MM")</f>
        <v/>
      </c>
      <c r="Y25" s="15">
        <f>TEXT(MOD(TIMEVALUE(Y5)+42/1440,1),"HH:MM")</f>
        <v/>
      </c>
      <c r="Z25" s="15">
        <f>TEXT(MOD(TIMEVALUE(Z5)+42/1440,1),"HH:MM")</f>
        <v/>
      </c>
      <c r="AA25" s="15">
        <f>TEXT(MOD(TIMEVALUE(AA5)+42/1440,1),"HH:MM")</f>
        <v/>
      </c>
      <c r="AB25" s="15">
        <f>TEXT(MOD(TIMEVALUE(AB5)+42/1440,1),"HH:MM")</f>
        <v/>
      </c>
      <c r="AC25" s="15">
        <f>TEXT(MOD(TIMEVALUE(AC5)+42/1440,1),"HH:MM")</f>
        <v/>
      </c>
      <c r="AD25" s="15">
        <f>TEXT(MOD(TIMEVALUE(AD5)+42/1440,1),"HH:MM")</f>
        <v/>
      </c>
      <c r="AE25" s="15">
        <f>TEXT(MOD(TIMEVALUE(AE5)+42/1440,1),"HH:MM")</f>
        <v/>
      </c>
      <c r="AF25" s="15">
        <f>TEXT(MOD(TIMEVALUE(AF5)+42/1440,1),"HH:MM")</f>
        <v/>
      </c>
      <c r="AG25" s="15">
        <f>TEXT(MOD(TIMEVALUE(AG5)+42/1440,1),"HH:MM")</f>
        <v/>
      </c>
      <c r="AH25" s="15">
        <f>TEXT(MOD(TIMEVALUE(AH5)+42/1440,1),"HH:MM")</f>
        <v/>
      </c>
      <c r="AI25" s="15">
        <f>TEXT(MOD(TIMEVALUE(AI5)+42/1440,1),"HH:MM")</f>
        <v/>
      </c>
      <c r="AJ25" s="15">
        <f>TEXT(MOD(TIMEVALUE(AJ5)+42/1440,1),"HH:MM")</f>
        <v/>
      </c>
      <c r="AK25" s="15">
        <f>TEXT(MOD(TIMEVALUE(AK5)+42/1440,1),"HH:MM")</f>
        <v/>
      </c>
      <c r="AL25" s="15">
        <f>TEXT(MOD(TIMEVALUE(AL5)+42/1440,1),"HH:MM")</f>
        <v/>
      </c>
      <c r="AM25" s="15">
        <f>TEXT(MOD(TIMEVALUE(AM5)+42/1440,1),"HH:MM")</f>
        <v/>
      </c>
    </row>
    <row r="26" ht="16.5" customHeight="1" s="26">
      <c r="A26" s="12" t="inlineStr">
        <is>
          <t>José Artigas</t>
        </is>
      </c>
      <c r="B26" s="13">
        <f>TEXT(MOD(TIMEVALUE(B5)+44/1440,1),"HH:MM")</f>
        <v/>
      </c>
      <c r="C26" s="13">
        <f>TEXT(MOD(TIMEVALUE(C5)+44/1440,1),"HH:MM")</f>
        <v/>
      </c>
      <c r="D26" s="13">
        <f>TEXT(MOD(TIMEVALUE(D5)+44/1440,1),"HH:MM")</f>
        <v/>
      </c>
      <c r="E26" s="13">
        <f>TEXT(MOD(TIMEVALUE(E5)+44/1440,1),"HH:MM")</f>
        <v/>
      </c>
      <c r="F26" s="13">
        <f>TEXT(MOD(TIMEVALUE(F5)+44/1440,1),"HH:MM")</f>
        <v/>
      </c>
      <c r="G26" s="13">
        <f>TEXT(MOD(TIMEVALUE(G5)+44/1440,1),"HH:MM")</f>
        <v/>
      </c>
      <c r="H26" s="13">
        <f>TEXT(MOD(TIMEVALUE(H5)+44/1440,1),"HH:MM")</f>
        <v/>
      </c>
      <c r="I26" s="13">
        <f>TEXT(MOD(TIMEVALUE(I5)+44/1440,1),"HH:MM")</f>
        <v/>
      </c>
      <c r="J26" s="13">
        <f>TEXT(MOD(TIMEVALUE(J5)+44/1440,1),"HH:MM")</f>
        <v/>
      </c>
      <c r="K26" s="13">
        <f>TEXT(MOD(TIMEVALUE(K5)+44/1440,1),"HH:MM")</f>
        <v/>
      </c>
      <c r="L26" s="13">
        <f>TEXT(MOD(TIMEVALUE(L5)+44/1440,1),"HH:MM")</f>
        <v/>
      </c>
      <c r="M26" s="13">
        <f>TEXT(MOD(TIMEVALUE(M5)+44/1440,1),"HH:MM")</f>
        <v/>
      </c>
      <c r="N26" s="13">
        <f>TEXT(MOD(TIMEVALUE(N5)+44/1440,1),"HH:MM")</f>
        <v/>
      </c>
      <c r="O26" s="13">
        <f>TEXT(MOD(TIMEVALUE(O5)+44/1440,1),"HH:MM")</f>
        <v/>
      </c>
      <c r="P26" s="13">
        <f>TEXT(MOD(TIMEVALUE(P5)+44/1440,1),"HH:MM")</f>
        <v/>
      </c>
      <c r="Q26" s="13">
        <f>TEXT(MOD(TIMEVALUE(Q5)+44/1440,1),"HH:MM")</f>
        <v/>
      </c>
      <c r="R26" s="13">
        <f>TEXT(MOD(TIMEVALUE(R5)+44/1440,1),"HH:MM")</f>
        <v/>
      </c>
      <c r="S26" s="13">
        <f>TEXT(MOD(TIMEVALUE(S5)+44/1440,1),"HH:MM")</f>
        <v/>
      </c>
      <c r="T26" s="13">
        <f>TEXT(MOD(TIMEVALUE(T5)+44/1440,1),"HH:MM")</f>
        <v/>
      </c>
      <c r="U26" s="13">
        <f>TEXT(MOD(TIMEVALUE(U5)+44/1440,1),"HH:MM")</f>
        <v/>
      </c>
      <c r="V26" s="13">
        <f>TEXT(MOD(TIMEVALUE(V5)+44/1440,1),"HH:MM")</f>
        <v/>
      </c>
      <c r="W26" s="13">
        <f>TEXT(MOD(TIMEVALUE(W5)+44/1440,1),"HH:MM")</f>
        <v/>
      </c>
      <c r="X26" s="13">
        <f>TEXT(MOD(TIMEVALUE(X5)+44/1440,1),"HH:MM")</f>
        <v/>
      </c>
      <c r="Y26" s="13">
        <f>TEXT(MOD(TIMEVALUE(Y5)+44/1440,1),"HH:MM")</f>
        <v/>
      </c>
      <c r="Z26" s="13">
        <f>TEXT(MOD(TIMEVALUE(Z5)+44/1440,1),"HH:MM")</f>
        <v/>
      </c>
      <c r="AA26" s="13">
        <f>TEXT(MOD(TIMEVALUE(AA5)+44/1440,1),"HH:MM")</f>
        <v/>
      </c>
      <c r="AB26" s="13">
        <f>TEXT(MOD(TIMEVALUE(AB5)+44/1440,1),"HH:MM")</f>
        <v/>
      </c>
      <c r="AC26" s="13">
        <f>TEXT(MOD(TIMEVALUE(AC5)+44/1440,1),"HH:MM")</f>
        <v/>
      </c>
      <c r="AD26" s="13">
        <f>TEXT(MOD(TIMEVALUE(AD5)+44/1440,1),"HH:MM")</f>
        <v/>
      </c>
      <c r="AE26" s="13">
        <f>TEXT(MOD(TIMEVALUE(AE5)+44/1440,1),"HH:MM")</f>
        <v/>
      </c>
      <c r="AF26" s="13">
        <f>TEXT(MOD(TIMEVALUE(AF5)+44/1440,1),"HH:MM")</f>
        <v/>
      </c>
      <c r="AG26" s="13">
        <f>TEXT(MOD(TIMEVALUE(AG5)+44/1440,1),"HH:MM")</f>
        <v/>
      </c>
      <c r="AH26" s="13">
        <f>TEXT(MOD(TIMEVALUE(AH5)+44/1440,1),"HH:MM")</f>
        <v/>
      </c>
      <c r="AI26" s="13">
        <f>TEXT(MOD(TIMEVALUE(AI5)+44/1440,1),"HH:MM")</f>
        <v/>
      </c>
      <c r="AJ26" s="13">
        <f>TEXT(MOD(TIMEVALUE(AJ5)+44/1440,1),"HH:MM")</f>
        <v/>
      </c>
      <c r="AK26" s="13">
        <f>TEXT(MOD(TIMEVALUE(AK5)+44/1440,1),"HH:MM")</f>
        <v/>
      </c>
      <c r="AL26" s="13">
        <f>TEXT(MOD(TIMEVALUE(AL5)+44/1440,1),"HH:MM")</f>
        <v/>
      </c>
      <c r="AM26" s="13">
        <f>TEXT(MOD(TIMEVALUE(AM5)+44/1440,1),"HH:MM")</f>
        <v/>
      </c>
    </row>
    <row r="27" ht="16.5" customHeight="1" s="26">
      <c r="A27" s="14" t="inlineStr">
        <is>
          <t>Federico Lacroze</t>
        </is>
      </c>
      <c r="B27" s="15">
        <f>TEXT(MOD(TIMEVALUE(B5)+49/1440,1),"HH:MM")</f>
        <v/>
      </c>
      <c r="C27" s="15">
        <f>TEXT(MOD(TIMEVALUE(C5)+49/1440,1),"HH:MM")</f>
        <v/>
      </c>
      <c r="D27" s="15">
        <f>TEXT(MOD(TIMEVALUE(D5)+49/1440,1),"HH:MM")</f>
        <v/>
      </c>
      <c r="E27" s="15">
        <f>TEXT(MOD(TIMEVALUE(E5)+49/1440,1),"HH:MM")</f>
        <v/>
      </c>
      <c r="F27" s="15">
        <f>TEXT(MOD(TIMEVALUE(F5)+49/1440,1),"HH:MM")</f>
        <v/>
      </c>
      <c r="G27" s="15">
        <f>TEXT(MOD(TIMEVALUE(G5)+49/1440,1),"HH:MM")</f>
        <v/>
      </c>
      <c r="H27" s="15">
        <f>TEXT(MOD(TIMEVALUE(H5)+49/1440,1),"HH:MM")</f>
        <v/>
      </c>
      <c r="I27" s="15">
        <f>TEXT(MOD(TIMEVALUE(I5)+49/1440,1),"HH:MM")</f>
        <v/>
      </c>
      <c r="J27" s="15">
        <f>TEXT(MOD(TIMEVALUE(J5)+49/1440,1),"HH:MM")</f>
        <v/>
      </c>
      <c r="K27" s="15">
        <f>TEXT(MOD(TIMEVALUE(K5)+49/1440,1),"HH:MM")</f>
        <v/>
      </c>
      <c r="L27" s="15">
        <f>TEXT(MOD(TIMEVALUE(L5)+49/1440,1),"HH:MM")</f>
        <v/>
      </c>
      <c r="M27" s="15">
        <f>TEXT(MOD(TIMEVALUE(M5)+49/1440,1),"HH:MM")</f>
        <v/>
      </c>
      <c r="N27" s="15">
        <f>TEXT(MOD(TIMEVALUE(N5)+49/1440,1),"HH:MM")</f>
        <v/>
      </c>
      <c r="O27" s="15">
        <f>TEXT(MOD(TIMEVALUE(O5)+49/1440,1),"HH:MM")</f>
        <v/>
      </c>
      <c r="P27" s="15">
        <f>TEXT(MOD(TIMEVALUE(P5)+49/1440,1),"HH:MM")</f>
        <v/>
      </c>
      <c r="Q27" s="15">
        <f>TEXT(MOD(TIMEVALUE(Q5)+49/1440,1),"HH:MM")</f>
        <v/>
      </c>
      <c r="R27" s="15">
        <f>TEXT(MOD(TIMEVALUE(R5)+49/1440,1),"HH:MM")</f>
        <v/>
      </c>
      <c r="S27" s="15">
        <f>TEXT(MOD(TIMEVALUE(S5)+49/1440,1),"HH:MM")</f>
        <v/>
      </c>
      <c r="T27" s="15">
        <f>TEXT(MOD(TIMEVALUE(T5)+49/1440,1),"HH:MM")</f>
        <v/>
      </c>
      <c r="U27" s="15">
        <f>TEXT(MOD(TIMEVALUE(U5)+49/1440,1),"HH:MM")</f>
        <v/>
      </c>
      <c r="V27" s="15">
        <f>TEXT(MOD(TIMEVALUE(V5)+49/1440,1),"HH:MM")</f>
        <v/>
      </c>
      <c r="W27" s="15">
        <f>TEXT(MOD(TIMEVALUE(W5)+49/1440,1),"HH:MM")</f>
        <v/>
      </c>
      <c r="X27" s="15">
        <f>TEXT(MOD(TIMEVALUE(X5)+49/1440,1),"HH:MM")</f>
        <v/>
      </c>
      <c r="Y27" s="15">
        <f>TEXT(MOD(TIMEVALUE(Y5)+49/1440,1),"HH:MM")</f>
        <v/>
      </c>
      <c r="Z27" s="15">
        <f>TEXT(MOD(TIMEVALUE(Z5)+49/1440,1),"HH:MM")</f>
        <v/>
      </c>
      <c r="AA27" s="15">
        <f>TEXT(MOD(TIMEVALUE(AA5)+49/1440,1),"HH:MM")</f>
        <v/>
      </c>
      <c r="AB27" s="15">
        <f>TEXT(MOD(TIMEVALUE(AB5)+49/1440,1),"HH:MM")</f>
        <v/>
      </c>
      <c r="AC27" s="15">
        <f>TEXT(MOD(TIMEVALUE(AC5)+49/1440,1),"HH:MM")</f>
        <v/>
      </c>
      <c r="AD27" s="15">
        <f>TEXT(MOD(TIMEVALUE(AD5)+49/1440,1),"HH:MM")</f>
        <v/>
      </c>
      <c r="AE27" s="15">
        <f>TEXT(MOD(TIMEVALUE(AE5)+49/1440,1),"HH:MM")</f>
        <v/>
      </c>
      <c r="AF27" s="15">
        <f>TEXT(MOD(TIMEVALUE(AF5)+49/1440,1),"HH:MM")</f>
        <v/>
      </c>
      <c r="AG27" s="15">
        <f>TEXT(MOD(TIMEVALUE(AG5)+49/1440,1),"HH:MM")</f>
        <v/>
      </c>
      <c r="AH27" s="15">
        <f>TEXT(MOD(TIMEVALUE(AH5)+49/1440,1),"HH:MM")</f>
        <v/>
      </c>
      <c r="AI27" s="15">
        <f>TEXT(MOD(TIMEVALUE(AI5)+49/1440,1),"HH:MM")</f>
        <v/>
      </c>
      <c r="AJ27" s="15">
        <f>TEXT(MOD(TIMEVALUE(AJ5)+49/1440,1),"HH:MM")</f>
        <v/>
      </c>
      <c r="AK27" s="15">
        <f>TEXT(MOD(TIMEVALUE(AK5)+49/1440,1),"HH:MM")</f>
        <v/>
      </c>
      <c r="AL27" s="15">
        <f>TEXT(MOD(TIMEVALUE(AL5)+49/1440,1),"HH:MM")</f>
        <v/>
      </c>
      <c r="AM27" s="15">
        <f>TEXT(MOD(TIMEVALUE(AM5)+49/1440,1),"HH:MM")</f>
        <v/>
      </c>
    </row>
    <row r="28" ht="15.75" customHeight="1" s="26"/>
    <row r="29" ht="15.75" customHeight="1" s="26">
      <c r="A29" s="16" t="inlineStr">
        <is>
          <t>Fuente: Horario Mural Invierno 2026, Metrovías — metrovias.com.ar  |  Modificar la hora de salida en la fila de la estación de origen para recalcular todo el recorrido.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</row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O29"/>
  <sheetViews>
    <sheetView showGridLines="0" workbookViewId="0">
      <selection activeCell="A1" sqref="A1"/>
    </sheetView>
  </sheetViews>
  <sheetFormatPr baseColWidth="8" defaultColWidth="14.43" defaultRowHeight="15" customHeight="1"/>
  <cols>
    <col width="24" customWidth="1" style="26" min="1" max="1"/>
    <col width="7" customWidth="1" style="26" min="2" max="93"/>
  </cols>
  <sheetData>
    <row r="1" ht="27.75" customHeight="1" s="26">
      <c r="A1" s="1" t="inlineStr">
        <is>
          <t>Tren Urquiza — Lunes a Viernes → Lemos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  <c r="CK1" s="2" t="n"/>
      <c r="CL1" s="2" t="n"/>
      <c r="CM1" s="2" t="n"/>
      <c r="CN1" s="2" t="n"/>
      <c r="CO1" s="3" t="n"/>
    </row>
    <row r="2" ht="15.75" customHeight="1" s="26">
      <c r="A2" s="4" t="inlineStr">
        <is>
          <t>Salida desde Federico Lacroze  |  Horario Mural Invierno 2026 — Metrovías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  <c r="BC2" s="5" t="n"/>
      <c r="BD2" s="5" t="n"/>
      <c r="BE2" s="5" t="n"/>
      <c r="BF2" s="5" t="n"/>
      <c r="BG2" s="5" t="n"/>
      <c r="BH2" s="5" t="n"/>
      <c r="BI2" s="5" t="n"/>
      <c r="BJ2" s="5" t="n"/>
      <c r="BK2" s="5" t="n"/>
      <c r="BL2" s="5" t="n"/>
      <c r="BM2" s="5" t="n"/>
      <c r="BN2" s="5" t="n"/>
      <c r="BO2" s="5" t="n"/>
      <c r="BP2" s="5" t="n"/>
      <c r="BQ2" s="5" t="n"/>
      <c r="BR2" s="5" t="n"/>
      <c r="BS2" s="5" t="n"/>
      <c r="BT2" s="5" t="n"/>
      <c r="BU2" s="5" t="n"/>
      <c r="BV2" s="5" t="n"/>
      <c r="BW2" s="5" t="n"/>
      <c r="BX2" s="5" t="n"/>
      <c r="BY2" s="5" t="n"/>
      <c r="BZ2" s="5" t="n"/>
      <c r="CA2" s="5" t="n"/>
      <c r="CB2" s="5" t="n"/>
      <c r="CC2" s="5" t="n"/>
      <c r="CD2" s="5" t="n"/>
      <c r="CE2" s="5" t="n"/>
      <c r="CF2" s="5" t="n"/>
      <c r="CG2" s="5" t="n"/>
      <c r="CH2" s="5" t="n"/>
      <c r="CI2" s="5" t="n"/>
      <c r="CJ2" s="5" t="n"/>
      <c r="CK2" s="5" t="n"/>
      <c r="CL2" s="5" t="n"/>
      <c r="CM2" s="5" t="n"/>
      <c r="CN2" s="5" t="n"/>
      <c r="CO2" s="6" t="n"/>
    </row>
    <row r="3" ht="4.5" customHeight="1" s="26"/>
    <row r="4" ht="19.5" customHeight="1" s="26">
      <c r="A4" s="17" t="inlineStr">
        <is>
          <t>Estación</t>
        </is>
      </c>
      <c r="B4" s="18" t="inlineStr">
        <is>
          <t>01:00</t>
        </is>
      </c>
      <c r="C4" s="18" t="inlineStr">
        <is>
          <t>02:40</t>
        </is>
      </c>
      <c r="D4" s="18" t="inlineStr">
        <is>
          <t>03:35</t>
        </is>
      </c>
      <c r="E4" s="18" t="inlineStr">
        <is>
          <t>04:20</t>
        </is>
      </c>
      <c r="F4" s="18" t="inlineStr">
        <is>
          <t>04:35</t>
        </is>
      </c>
      <c r="G4" s="18" t="inlineStr">
        <is>
          <t>05:00</t>
        </is>
      </c>
      <c r="H4" s="18" t="inlineStr">
        <is>
          <t>05:14</t>
        </is>
      </c>
      <c r="I4" s="18" t="inlineStr">
        <is>
          <t>05:24</t>
        </is>
      </c>
      <c r="J4" s="18" t="inlineStr">
        <is>
          <t>05:34</t>
        </is>
      </c>
      <c r="K4" s="18" t="inlineStr">
        <is>
          <t>05:44</t>
        </is>
      </c>
      <c r="L4" s="18" t="inlineStr">
        <is>
          <t>05:54</t>
        </is>
      </c>
      <c r="M4" s="18" t="inlineStr">
        <is>
          <t>06:04</t>
        </is>
      </c>
      <c r="N4" s="18" t="inlineStr">
        <is>
          <t>06:14</t>
        </is>
      </c>
      <c r="O4" s="18" t="inlineStr">
        <is>
          <t>06:23</t>
        </is>
      </c>
      <c r="P4" s="18" t="inlineStr">
        <is>
          <t>06:31</t>
        </is>
      </c>
      <c r="Q4" s="18" t="inlineStr">
        <is>
          <t>06:39</t>
        </is>
      </c>
      <c r="R4" s="18" t="inlineStr">
        <is>
          <t>06:47</t>
        </is>
      </c>
      <c r="S4" s="18" t="inlineStr">
        <is>
          <t>06:55</t>
        </is>
      </c>
      <c r="T4" s="18" t="inlineStr">
        <is>
          <t>07:03</t>
        </is>
      </c>
      <c r="U4" s="18" t="inlineStr">
        <is>
          <t>07:11</t>
        </is>
      </c>
      <c r="V4" s="18" t="inlineStr">
        <is>
          <t>07:19</t>
        </is>
      </c>
      <c r="W4" s="18" t="inlineStr">
        <is>
          <t>07:27</t>
        </is>
      </c>
      <c r="X4" s="18" t="inlineStr">
        <is>
          <t>07:35</t>
        </is>
      </c>
      <c r="Y4" s="18" t="inlineStr">
        <is>
          <t>07:47</t>
        </is>
      </c>
      <c r="Z4" s="18" t="inlineStr">
        <is>
          <t>07:57</t>
        </is>
      </c>
      <c r="AA4" s="18" t="inlineStr">
        <is>
          <t>08:07</t>
        </is>
      </c>
      <c r="AB4" s="18" t="inlineStr">
        <is>
          <t>08:17</t>
        </is>
      </c>
      <c r="AC4" s="18" t="inlineStr">
        <is>
          <t>08:27</t>
        </is>
      </c>
      <c r="AD4" s="18" t="inlineStr">
        <is>
          <t>08:37</t>
        </is>
      </c>
      <c r="AE4" s="18" t="inlineStr">
        <is>
          <t>08:47</t>
        </is>
      </c>
      <c r="AF4" s="18" t="inlineStr">
        <is>
          <t>08:57</t>
        </is>
      </c>
      <c r="AG4" s="18" t="inlineStr">
        <is>
          <t>09:07</t>
        </is>
      </c>
      <c r="AH4" s="18" t="inlineStr">
        <is>
          <t>09:22</t>
        </is>
      </c>
      <c r="AI4" s="18" t="inlineStr">
        <is>
          <t>09:39</t>
        </is>
      </c>
      <c r="AJ4" s="18" t="inlineStr">
        <is>
          <t>09:59</t>
        </is>
      </c>
      <c r="AK4" s="18" t="inlineStr">
        <is>
          <t>10:15</t>
        </is>
      </c>
      <c r="AL4" s="18" t="inlineStr">
        <is>
          <t>10:30</t>
        </is>
      </c>
      <c r="AM4" s="18" t="inlineStr">
        <is>
          <t>10:45</t>
        </is>
      </c>
      <c r="AN4" s="18" t="inlineStr">
        <is>
          <t>11:00</t>
        </is>
      </c>
      <c r="AO4" s="18" t="inlineStr">
        <is>
          <t>11:15</t>
        </is>
      </c>
      <c r="AP4" s="18" t="inlineStr">
        <is>
          <t>11:30</t>
        </is>
      </c>
      <c r="AQ4" s="18" t="inlineStr">
        <is>
          <t>11:45</t>
        </is>
      </c>
      <c r="AR4" s="18" t="inlineStr">
        <is>
          <t>12:00</t>
        </is>
      </c>
      <c r="AS4" s="18" t="inlineStr">
        <is>
          <t>12:15</t>
        </is>
      </c>
      <c r="AT4" s="18" t="inlineStr">
        <is>
          <t>12:30</t>
        </is>
      </c>
      <c r="AU4" s="18" t="inlineStr">
        <is>
          <t>12:45</t>
        </is>
      </c>
      <c r="AV4" s="18" t="inlineStr">
        <is>
          <t>13:00</t>
        </is>
      </c>
      <c r="AW4" s="18" t="inlineStr">
        <is>
          <t>13:15</t>
        </is>
      </c>
      <c r="AX4" s="18" t="inlineStr">
        <is>
          <t>13:30</t>
        </is>
      </c>
      <c r="AY4" s="18" t="inlineStr">
        <is>
          <t>13:45</t>
        </is>
      </c>
      <c r="AZ4" s="18" t="inlineStr">
        <is>
          <t>14:00</t>
        </is>
      </c>
      <c r="BA4" s="18" t="inlineStr">
        <is>
          <t>14:15</t>
        </is>
      </c>
      <c r="BB4" s="18" t="inlineStr">
        <is>
          <t>14:30</t>
        </is>
      </c>
      <c r="BC4" s="18" t="inlineStr">
        <is>
          <t>14:45</t>
        </is>
      </c>
      <c r="BD4" s="18" t="inlineStr">
        <is>
          <t>15:00</t>
        </is>
      </c>
      <c r="BE4" s="18" t="inlineStr">
        <is>
          <t>15:15</t>
        </is>
      </c>
      <c r="BF4" s="18" t="inlineStr">
        <is>
          <t>15:30</t>
        </is>
      </c>
      <c r="BG4" s="18" t="inlineStr">
        <is>
          <t>15:45</t>
        </is>
      </c>
      <c r="BH4" s="18" t="inlineStr">
        <is>
          <t>16:00</t>
        </is>
      </c>
      <c r="BI4" s="18" t="inlineStr">
        <is>
          <t>16:15</t>
        </is>
      </c>
      <c r="BJ4" s="18" t="inlineStr">
        <is>
          <t>16:30</t>
        </is>
      </c>
      <c r="BK4" s="18" t="inlineStr">
        <is>
          <t>16:45</t>
        </is>
      </c>
      <c r="BL4" s="18" t="inlineStr">
        <is>
          <t>17:00</t>
        </is>
      </c>
      <c r="BM4" s="18" t="inlineStr">
        <is>
          <t>17:10</t>
        </is>
      </c>
      <c r="BN4" s="18" t="inlineStr">
        <is>
          <t>17:20</t>
        </is>
      </c>
      <c r="BO4" s="18" t="inlineStr">
        <is>
          <t>17:30</t>
        </is>
      </c>
      <c r="BP4" s="18" t="inlineStr">
        <is>
          <t>17:40</t>
        </is>
      </c>
      <c r="BQ4" s="18" t="inlineStr">
        <is>
          <t>17:50</t>
        </is>
      </c>
      <c r="BR4" s="18" t="inlineStr">
        <is>
          <t>18:00</t>
        </is>
      </c>
      <c r="BS4" s="18" t="inlineStr">
        <is>
          <t>18:10</t>
        </is>
      </c>
      <c r="BT4" s="18" t="inlineStr">
        <is>
          <t>18:20</t>
        </is>
      </c>
      <c r="BU4" s="18" t="inlineStr">
        <is>
          <t>18:30</t>
        </is>
      </c>
      <c r="BV4" s="18" t="inlineStr">
        <is>
          <t>18:40</t>
        </is>
      </c>
      <c r="BW4" s="18" t="inlineStr">
        <is>
          <t>18:50</t>
        </is>
      </c>
      <c r="BX4" s="18" t="inlineStr">
        <is>
          <t>19:00</t>
        </is>
      </c>
      <c r="BY4" s="18" t="inlineStr">
        <is>
          <t>19:10</t>
        </is>
      </c>
      <c r="BZ4" s="18" t="inlineStr">
        <is>
          <t>19:20</t>
        </is>
      </c>
      <c r="CA4" s="18" t="inlineStr">
        <is>
          <t>19:30</t>
        </is>
      </c>
      <c r="CB4" s="18" t="inlineStr">
        <is>
          <t>19:40</t>
        </is>
      </c>
      <c r="CC4" s="18" t="inlineStr">
        <is>
          <t>19:50</t>
        </is>
      </c>
      <c r="CD4" s="18" t="inlineStr">
        <is>
          <t>20:00</t>
        </is>
      </c>
      <c r="CE4" s="18" t="inlineStr">
        <is>
          <t>20:15</t>
        </is>
      </c>
      <c r="CF4" s="18" t="inlineStr">
        <is>
          <t>20:30</t>
        </is>
      </c>
      <c r="CG4" s="18" t="inlineStr">
        <is>
          <t>20:45</t>
        </is>
      </c>
      <c r="CH4" s="18" t="inlineStr">
        <is>
          <t>21:00</t>
        </is>
      </c>
      <c r="CI4" s="18" t="inlineStr">
        <is>
          <t>21:20</t>
        </is>
      </c>
      <c r="CJ4" s="18" t="inlineStr">
        <is>
          <t>21:40</t>
        </is>
      </c>
      <c r="CK4" s="18" t="inlineStr">
        <is>
          <t>22:00</t>
        </is>
      </c>
      <c r="CL4" s="18" t="inlineStr">
        <is>
          <t>22:20</t>
        </is>
      </c>
      <c r="CM4" s="18" t="inlineStr">
        <is>
          <t>22:40</t>
        </is>
      </c>
      <c r="CN4" s="18" t="inlineStr">
        <is>
          <t>23:06</t>
        </is>
      </c>
      <c r="CO4" s="18" t="inlineStr">
        <is>
          <t>23:50</t>
        </is>
      </c>
    </row>
    <row r="5" ht="16.5" customHeight="1" s="26">
      <c r="A5" s="19" t="inlineStr">
        <is>
          <t>Federico Lacroze</t>
        </is>
      </c>
      <c r="B5" s="20" t="n">
        <v>0.04166666666666666</v>
      </c>
      <c r="C5" s="21" t="inlineStr">
        <is>
          <t>02:40</t>
        </is>
      </c>
      <c r="D5" s="21" t="inlineStr">
        <is>
          <t>03:35</t>
        </is>
      </c>
      <c r="E5" s="21" t="inlineStr">
        <is>
          <t>04:20</t>
        </is>
      </c>
      <c r="F5" s="21" t="inlineStr">
        <is>
          <t>04:35</t>
        </is>
      </c>
      <c r="G5" s="21" t="inlineStr">
        <is>
          <t>05:00</t>
        </is>
      </c>
      <c r="H5" s="21" t="inlineStr">
        <is>
          <t>05:14</t>
        </is>
      </c>
      <c r="I5" s="21" t="inlineStr">
        <is>
          <t>05:24</t>
        </is>
      </c>
      <c r="J5" s="21" t="inlineStr">
        <is>
          <t>05:34</t>
        </is>
      </c>
      <c r="K5" s="21" t="inlineStr">
        <is>
          <t>05:44</t>
        </is>
      </c>
      <c r="L5" s="21" t="inlineStr">
        <is>
          <t>05:54</t>
        </is>
      </c>
      <c r="M5" s="21" t="inlineStr">
        <is>
          <t>06:04</t>
        </is>
      </c>
      <c r="N5" s="21" t="inlineStr">
        <is>
          <t>06:14</t>
        </is>
      </c>
      <c r="O5" s="21" t="inlineStr">
        <is>
          <t>06:23</t>
        </is>
      </c>
      <c r="P5" s="21" t="inlineStr">
        <is>
          <t>06:31</t>
        </is>
      </c>
      <c r="Q5" s="21" t="inlineStr">
        <is>
          <t>06:39</t>
        </is>
      </c>
      <c r="R5" s="21" t="inlineStr">
        <is>
          <t>06:47</t>
        </is>
      </c>
      <c r="S5" s="21" t="inlineStr">
        <is>
          <t>06:55</t>
        </is>
      </c>
      <c r="T5" s="21" t="inlineStr">
        <is>
          <t>07:03</t>
        </is>
      </c>
      <c r="U5" s="21" t="inlineStr">
        <is>
          <t>07:11</t>
        </is>
      </c>
      <c r="V5" s="21" t="inlineStr">
        <is>
          <t>07:19</t>
        </is>
      </c>
      <c r="W5" s="21" t="inlineStr">
        <is>
          <t>07:27</t>
        </is>
      </c>
      <c r="X5" s="21" t="inlineStr">
        <is>
          <t>07:35</t>
        </is>
      </c>
      <c r="Y5" s="21" t="inlineStr">
        <is>
          <t>07:47</t>
        </is>
      </c>
      <c r="Z5" s="21" t="inlineStr">
        <is>
          <t>07:57</t>
        </is>
      </c>
      <c r="AA5" s="21" t="inlineStr">
        <is>
          <t>08:07</t>
        </is>
      </c>
      <c r="AB5" s="21" t="inlineStr">
        <is>
          <t>08:17</t>
        </is>
      </c>
      <c r="AC5" s="21" t="inlineStr">
        <is>
          <t>08:27</t>
        </is>
      </c>
      <c r="AD5" s="21" t="inlineStr">
        <is>
          <t>08:37</t>
        </is>
      </c>
      <c r="AE5" s="21" t="inlineStr">
        <is>
          <t>08:47</t>
        </is>
      </c>
      <c r="AF5" s="21" t="inlineStr">
        <is>
          <t>08:57</t>
        </is>
      </c>
      <c r="AG5" s="21" t="inlineStr">
        <is>
          <t>09:07</t>
        </is>
      </c>
      <c r="AH5" s="21" t="inlineStr">
        <is>
          <t>09:22</t>
        </is>
      </c>
      <c r="AI5" s="21" t="inlineStr">
        <is>
          <t>09:39</t>
        </is>
      </c>
      <c r="AJ5" s="21" t="inlineStr">
        <is>
          <t>09:59</t>
        </is>
      </c>
      <c r="AK5" s="21" t="inlineStr">
        <is>
          <t>10:15</t>
        </is>
      </c>
      <c r="AL5" s="21" t="inlineStr">
        <is>
          <t>10:30</t>
        </is>
      </c>
      <c r="AM5" s="21" t="inlineStr">
        <is>
          <t>10:45</t>
        </is>
      </c>
      <c r="AN5" s="21" t="inlineStr">
        <is>
          <t>11:00</t>
        </is>
      </c>
      <c r="AO5" s="21" t="inlineStr">
        <is>
          <t>11:15</t>
        </is>
      </c>
      <c r="AP5" s="21" t="inlineStr">
        <is>
          <t>11:30</t>
        </is>
      </c>
      <c r="AQ5" s="21" t="inlineStr">
        <is>
          <t>11:45</t>
        </is>
      </c>
      <c r="AR5" s="21" t="inlineStr">
        <is>
          <t>12:00</t>
        </is>
      </c>
      <c r="AS5" s="21" t="inlineStr">
        <is>
          <t>12:15</t>
        </is>
      </c>
      <c r="AT5" s="21" t="inlineStr">
        <is>
          <t>12:30</t>
        </is>
      </c>
      <c r="AU5" s="21" t="inlineStr">
        <is>
          <t>12:45</t>
        </is>
      </c>
      <c r="AV5" s="21" t="inlineStr">
        <is>
          <t>13:00</t>
        </is>
      </c>
      <c r="AW5" s="21" t="inlineStr">
        <is>
          <t>13:15</t>
        </is>
      </c>
      <c r="AX5" s="21" t="inlineStr">
        <is>
          <t>13:30</t>
        </is>
      </c>
      <c r="AY5" s="21" t="inlineStr">
        <is>
          <t>13:45</t>
        </is>
      </c>
      <c r="AZ5" s="21" t="inlineStr">
        <is>
          <t>14:00</t>
        </is>
      </c>
      <c r="BA5" s="21" t="inlineStr">
        <is>
          <t>14:15</t>
        </is>
      </c>
      <c r="BB5" s="21" t="inlineStr">
        <is>
          <t>14:30</t>
        </is>
      </c>
      <c r="BC5" s="21" t="inlineStr">
        <is>
          <t>14:45</t>
        </is>
      </c>
      <c r="BD5" s="21" t="inlineStr">
        <is>
          <t>15:00</t>
        </is>
      </c>
      <c r="BE5" s="21" t="inlineStr">
        <is>
          <t>15:15</t>
        </is>
      </c>
      <c r="BF5" s="21" t="inlineStr">
        <is>
          <t>15:30</t>
        </is>
      </c>
      <c r="BG5" s="21" t="inlineStr">
        <is>
          <t>15:45</t>
        </is>
      </c>
      <c r="BH5" s="21" t="inlineStr">
        <is>
          <t>16:00</t>
        </is>
      </c>
      <c r="BI5" s="21" t="inlineStr">
        <is>
          <t>16:15</t>
        </is>
      </c>
      <c r="BJ5" s="21" t="inlineStr">
        <is>
          <t>16:30</t>
        </is>
      </c>
      <c r="BK5" s="21" t="inlineStr">
        <is>
          <t>16:45</t>
        </is>
      </c>
      <c r="BL5" s="21" t="inlineStr">
        <is>
          <t>17:00</t>
        </is>
      </c>
      <c r="BM5" s="21" t="inlineStr">
        <is>
          <t>17:10</t>
        </is>
      </c>
      <c r="BN5" s="21" t="inlineStr">
        <is>
          <t>17:20</t>
        </is>
      </c>
      <c r="BO5" s="21" t="inlineStr">
        <is>
          <t>17:30</t>
        </is>
      </c>
      <c r="BP5" s="21" t="inlineStr">
        <is>
          <t>17:40</t>
        </is>
      </c>
      <c r="BQ5" s="21" t="inlineStr">
        <is>
          <t>17:50</t>
        </is>
      </c>
      <c r="BR5" s="21" t="inlineStr">
        <is>
          <t>18:00</t>
        </is>
      </c>
      <c r="BS5" s="21" t="inlineStr">
        <is>
          <t>18:10</t>
        </is>
      </c>
      <c r="BT5" s="21" t="inlineStr">
        <is>
          <t>18:20</t>
        </is>
      </c>
      <c r="BU5" s="21" t="inlineStr">
        <is>
          <t>18:30</t>
        </is>
      </c>
      <c r="BV5" s="21" t="inlineStr">
        <is>
          <t>18:40</t>
        </is>
      </c>
      <c r="BW5" s="21" t="inlineStr">
        <is>
          <t>18:50</t>
        </is>
      </c>
      <c r="BX5" s="21" t="inlineStr">
        <is>
          <t>19:00</t>
        </is>
      </c>
      <c r="BY5" s="21" t="inlineStr">
        <is>
          <t>19:10</t>
        </is>
      </c>
      <c r="BZ5" s="21" t="inlineStr">
        <is>
          <t>19:20</t>
        </is>
      </c>
      <c r="CA5" s="21" t="inlineStr">
        <is>
          <t>19:30</t>
        </is>
      </c>
      <c r="CB5" s="21" t="inlineStr">
        <is>
          <t>19:40</t>
        </is>
      </c>
      <c r="CC5" s="21" t="inlineStr">
        <is>
          <t>19:50</t>
        </is>
      </c>
      <c r="CD5" s="21" t="inlineStr">
        <is>
          <t>20:00</t>
        </is>
      </c>
      <c r="CE5" s="21" t="inlineStr">
        <is>
          <t>20:15</t>
        </is>
      </c>
      <c r="CF5" s="21" t="inlineStr">
        <is>
          <t>20:30</t>
        </is>
      </c>
      <c r="CG5" s="21" t="inlineStr">
        <is>
          <t>20:45</t>
        </is>
      </c>
      <c r="CH5" s="21" t="inlineStr">
        <is>
          <t>21:00</t>
        </is>
      </c>
      <c r="CI5" s="21" t="inlineStr">
        <is>
          <t>21:20</t>
        </is>
      </c>
      <c r="CJ5" s="21" t="inlineStr">
        <is>
          <t>21:40</t>
        </is>
      </c>
      <c r="CK5" s="21" t="inlineStr">
        <is>
          <t>22:00</t>
        </is>
      </c>
      <c r="CL5" s="21" t="inlineStr">
        <is>
          <t>22:20</t>
        </is>
      </c>
      <c r="CM5" s="21" t="inlineStr">
        <is>
          <t>22:40</t>
        </is>
      </c>
      <c r="CN5" s="21" t="inlineStr">
        <is>
          <t>23:06</t>
        </is>
      </c>
      <c r="CO5" s="21" t="inlineStr">
        <is>
          <t>23:50</t>
        </is>
      </c>
    </row>
    <row r="6" ht="16.5" customHeight="1" s="26">
      <c r="A6" s="22" t="inlineStr">
        <is>
          <t>José Artigas</t>
        </is>
      </c>
      <c r="B6" s="13">
        <f>TEXT(MOD(TIMEVALUE(B5)+3/1440,1),"HH:MM")</f>
        <v/>
      </c>
      <c r="C6" s="13">
        <f>TEXT(MOD(TIMEVALUE(C5)+3/1440,1),"HH:MM")</f>
        <v/>
      </c>
      <c r="D6" s="13">
        <f>TEXT(MOD(TIMEVALUE(D5)+3/1440,1),"HH:MM")</f>
        <v/>
      </c>
      <c r="E6" s="13">
        <f>TEXT(MOD(TIMEVALUE(E5)+3/1440,1),"HH:MM")</f>
        <v/>
      </c>
      <c r="F6" s="13">
        <f>TEXT(MOD(TIMEVALUE(F5)+3/1440,1),"HH:MM")</f>
        <v/>
      </c>
      <c r="G6" s="13">
        <f>TEXT(MOD(TIMEVALUE(G5)+3/1440,1),"HH:MM")</f>
        <v/>
      </c>
      <c r="H6" s="13">
        <f>TEXT(MOD(TIMEVALUE(H5)+3/1440,1),"HH:MM")</f>
        <v/>
      </c>
      <c r="I6" s="13">
        <f>TEXT(MOD(TIMEVALUE(I5)+3/1440,1),"HH:MM")</f>
        <v/>
      </c>
      <c r="J6" s="13">
        <f>TEXT(MOD(TIMEVALUE(J5)+3/1440,1),"HH:MM")</f>
        <v/>
      </c>
      <c r="K6" s="13">
        <f>TEXT(MOD(TIMEVALUE(K5)+3/1440,1),"HH:MM")</f>
        <v/>
      </c>
      <c r="L6" s="13">
        <f>TEXT(MOD(TIMEVALUE(L5)+3/1440,1),"HH:MM")</f>
        <v/>
      </c>
      <c r="M6" s="13">
        <f>TEXT(MOD(TIMEVALUE(M5)+3/1440,1),"HH:MM")</f>
        <v/>
      </c>
      <c r="N6" s="13">
        <f>TEXT(MOD(TIMEVALUE(N5)+3/1440,1),"HH:MM")</f>
        <v/>
      </c>
      <c r="O6" s="13">
        <f>TEXT(MOD(TIMEVALUE(O5)+3/1440,1),"HH:MM")</f>
        <v/>
      </c>
      <c r="P6" s="13">
        <f>TEXT(MOD(TIMEVALUE(P5)+3/1440,1),"HH:MM")</f>
        <v/>
      </c>
      <c r="Q6" s="13">
        <f>TEXT(MOD(TIMEVALUE(Q5)+3/1440,1),"HH:MM")</f>
        <v/>
      </c>
      <c r="R6" s="13">
        <f>TEXT(MOD(TIMEVALUE(R5)+3/1440,1),"HH:MM")</f>
        <v/>
      </c>
      <c r="S6" s="13">
        <f>TEXT(MOD(TIMEVALUE(S5)+3/1440,1),"HH:MM")</f>
        <v/>
      </c>
      <c r="T6" s="13">
        <f>TEXT(MOD(TIMEVALUE(T5)+3/1440,1),"HH:MM")</f>
        <v/>
      </c>
      <c r="U6" s="13">
        <f>TEXT(MOD(TIMEVALUE(U5)+3/1440,1),"HH:MM")</f>
        <v/>
      </c>
      <c r="V6" s="13">
        <f>TEXT(MOD(TIMEVALUE(V5)+3/1440,1),"HH:MM")</f>
        <v/>
      </c>
      <c r="W6" s="13">
        <f>TEXT(MOD(TIMEVALUE(W5)+3/1440,1),"HH:MM")</f>
        <v/>
      </c>
      <c r="X6" s="13">
        <f>TEXT(MOD(TIMEVALUE(X5)+3/1440,1),"HH:MM")</f>
        <v/>
      </c>
      <c r="Y6" s="13">
        <f>TEXT(MOD(TIMEVALUE(Y5)+3/1440,1),"HH:MM")</f>
        <v/>
      </c>
      <c r="Z6" s="13">
        <f>TEXT(MOD(TIMEVALUE(Z5)+3/1440,1),"HH:MM")</f>
        <v/>
      </c>
      <c r="AA6" s="13">
        <f>TEXT(MOD(TIMEVALUE(AA5)+3/1440,1),"HH:MM")</f>
        <v/>
      </c>
      <c r="AB6" s="13">
        <f>TEXT(MOD(TIMEVALUE(AB5)+3/1440,1),"HH:MM")</f>
        <v/>
      </c>
      <c r="AC6" s="13">
        <f>TEXT(MOD(TIMEVALUE(AC5)+3/1440,1),"HH:MM")</f>
        <v/>
      </c>
      <c r="AD6" s="13">
        <f>TEXT(MOD(TIMEVALUE(AD5)+3/1440,1),"HH:MM")</f>
        <v/>
      </c>
      <c r="AE6" s="13">
        <f>TEXT(MOD(TIMEVALUE(AE5)+3/1440,1),"HH:MM")</f>
        <v/>
      </c>
      <c r="AF6" s="13">
        <f>TEXT(MOD(TIMEVALUE(AF5)+3/1440,1),"HH:MM")</f>
        <v/>
      </c>
      <c r="AG6" s="13">
        <f>TEXT(MOD(TIMEVALUE(AG5)+3/1440,1),"HH:MM")</f>
        <v/>
      </c>
      <c r="AH6" s="13">
        <f>TEXT(MOD(TIMEVALUE(AH5)+3/1440,1),"HH:MM")</f>
        <v/>
      </c>
      <c r="AI6" s="13">
        <f>TEXT(MOD(TIMEVALUE(AI5)+3/1440,1),"HH:MM")</f>
        <v/>
      </c>
      <c r="AJ6" s="13">
        <f>TEXT(MOD(TIMEVALUE(AJ5)+3/1440,1),"HH:MM")</f>
        <v/>
      </c>
      <c r="AK6" s="13">
        <f>TEXT(MOD(TIMEVALUE(AK5)+3/1440,1),"HH:MM")</f>
        <v/>
      </c>
      <c r="AL6" s="13">
        <f>TEXT(MOD(TIMEVALUE(AL5)+3/1440,1),"HH:MM")</f>
        <v/>
      </c>
      <c r="AM6" s="13">
        <f>TEXT(MOD(TIMEVALUE(AM5)+3/1440,1),"HH:MM")</f>
        <v/>
      </c>
      <c r="AN6" s="13">
        <f>TEXT(MOD(TIMEVALUE(AN5)+3/1440,1),"HH:MM")</f>
        <v/>
      </c>
      <c r="AO6" s="13">
        <f>TEXT(MOD(TIMEVALUE(AO5)+3/1440,1),"HH:MM")</f>
        <v/>
      </c>
      <c r="AP6" s="13">
        <f>TEXT(MOD(TIMEVALUE(AP5)+3/1440,1),"HH:MM")</f>
        <v/>
      </c>
      <c r="AQ6" s="13">
        <f>TEXT(MOD(TIMEVALUE(AQ5)+3/1440,1),"HH:MM")</f>
        <v/>
      </c>
      <c r="AR6" s="13">
        <f>TEXT(MOD(TIMEVALUE(AR5)+3/1440,1),"HH:MM")</f>
        <v/>
      </c>
      <c r="AS6" s="13">
        <f>TEXT(MOD(TIMEVALUE(AS5)+3/1440,1),"HH:MM")</f>
        <v/>
      </c>
      <c r="AT6" s="13">
        <f>TEXT(MOD(TIMEVALUE(AT5)+3/1440,1),"HH:MM")</f>
        <v/>
      </c>
      <c r="AU6" s="13">
        <f>TEXT(MOD(TIMEVALUE(AU5)+3/1440,1),"HH:MM")</f>
        <v/>
      </c>
      <c r="AV6" s="13">
        <f>TEXT(MOD(TIMEVALUE(AV5)+3/1440,1),"HH:MM")</f>
        <v/>
      </c>
      <c r="AW6" s="13">
        <f>TEXT(MOD(TIMEVALUE(AW5)+3/1440,1),"HH:MM")</f>
        <v/>
      </c>
      <c r="AX6" s="13">
        <f>TEXT(MOD(TIMEVALUE(AX5)+3/1440,1),"HH:MM")</f>
        <v/>
      </c>
      <c r="AY6" s="13">
        <f>TEXT(MOD(TIMEVALUE(AY5)+3/1440,1),"HH:MM")</f>
        <v/>
      </c>
      <c r="AZ6" s="13">
        <f>TEXT(MOD(TIMEVALUE(AZ5)+3/1440,1),"HH:MM")</f>
        <v/>
      </c>
      <c r="BA6" s="13">
        <f>TEXT(MOD(TIMEVALUE(BA5)+3/1440,1),"HH:MM")</f>
        <v/>
      </c>
      <c r="BB6" s="13">
        <f>TEXT(MOD(TIMEVALUE(BB5)+3/1440,1),"HH:MM")</f>
        <v/>
      </c>
      <c r="BC6" s="13">
        <f>TEXT(MOD(TIMEVALUE(BC5)+3/1440,1),"HH:MM")</f>
        <v/>
      </c>
      <c r="BD6" s="13">
        <f>TEXT(MOD(TIMEVALUE(BD5)+3/1440,1),"HH:MM")</f>
        <v/>
      </c>
      <c r="BE6" s="13">
        <f>TEXT(MOD(TIMEVALUE(BE5)+3/1440,1),"HH:MM")</f>
        <v/>
      </c>
      <c r="BF6" s="13">
        <f>TEXT(MOD(TIMEVALUE(BF5)+3/1440,1),"HH:MM")</f>
        <v/>
      </c>
      <c r="BG6" s="13">
        <f>TEXT(MOD(TIMEVALUE(BG5)+3/1440,1),"HH:MM")</f>
        <v/>
      </c>
      <c r="BH6" s="13">
        <f>TEXT(MOD(TIMEVALUE(BH5)+3/1440,1),"HH:MM")</f>
        <v/>
      </c>
      <c r="BI6" s="13">
        <f>TEXT(MOD(TIMEVALUE(BI5)+3/1440,1),"HH:MM")</f>
        <v/>
      </c>
      <c r="BJ6" s="13">
        <f>TEXT(MOD(TIMEVALUE(BJ5)+3/1440,1),"HH:MM")</f>
        <v/>
      </c>
      <c r="BK6" s="13">
        <f>TEXT(MOD(TIMEVALUE(BK5)+3/1440,1),"HH:MM")</f>
        <v/>
      </c>
      <c r="BL6" s="13">
        <f>TEXT(MOD(TIMEVALUE(BL5)+3/1440,1),"HH:MM")</f>
        <v/>
      </c>
      <c r="BM6" s="13">
        <f>TEXT(MOD(TIMEVALUE(BM5)+3/1440,1),"HH:MM")</f>
        <v/>
      </c>
      <c r="BN6" s="13">
        <f>TEXT(MOD(TIMEVALUE(BN5)+3/1440,1),"HH:MM")</f>
        <v/>
      </c>
      <c r="BO6" s="13">
        <f>TEXT(MOD(TIMEVALUE(BO5)+3/1440,1),"HH:MM")</f>
        <v/>
      </c>
      <c r="BP6" s="13">
        <f>TEXT(MOD(TIMEVALUE(BP5)+3/1440,1),"HH:MM")</f>
        <v/>
      </c>
      <c r="BQ6" s="13">
        <f>TEXT(MOD(TIMEVALUE(BQ5)+3/1440,1),"HH:MM")</f>
        <v/>
      </c>
      <c r="BR6" s="13">
        <f>TEXT(MOD(TIMEVALUE(BR5)+3/1440,1),"HH:MM")</f>
        <v/>
      </c>
      <c r="BS6" s="13">
        <f>TEXT(MOD(TIMEVALUE(BS5)+3/1440,1),"HH:MM")</f>
        <v/>
      </c>
      <c r="BT6" s="13">
        <f>TEXT(MOD(TIMEVALUE(BT5)+3/1440,1),"HH:MM")</f>
        <v/>
      </c>
      <c r="BU6" s="13">
        <f>TEXT(MOD(TIMEVALUE(BU5)+3/1440,1),"HH:MM")</f>
        <v/>
      </c>
      <c r="BV6" s="13">
        <f>TEXT(MOD(TIMEVALUE(BV5)+3/1440,1),"HH:MM")</f>
        <v/>
      </c>
      <c r="BW6" s="13">
        <f>TEXT(MOD(TIMEVALUE(BW5)+3/1440,1),"HH:MM")</f>
        <v/>
      </c>
      <c r="BX6" s="13">
        <f>TEXT(MOD(TIMEVALUE(BX5)+3/1440,1),"HH:MM")</f>
        <v/>
      </c>
      <c r="BY6" s="13">
        <f>TEXT(MOD(TIMEVALUE(BY5)+3/1440,1),"HH:MM")</f>
        <v/>
      </c>
      <c r="BZ6" s="13">
        <f>TEXT(MOD(TIMEVALUE(BZ5)+3/1440,1),"HH:MM")</f>
        <v/>
      </c>
      <c r="CA6" s="13">
        <f>TEXT(MOD(TIMEVALUE(CA5)+3/1440,1),"HH:MM")</f>
        <v/>
      </c>
      <c r="CB6" s="13">
        <f>TEXT(MOD(TIMEVALUE(CB5)+3/1440,1),"HH:MM")</f>
        <v/>
      </c>
      <c r="CC6" s="13">
        <f>TEXT(MOD(TIMEVALUE(CC5)+3/1440,1),"HH:MM")</f>
        <v/>
      </c>
      <c r="CD6" s="13">
        <f>TEXT(MOD(TIMEVALUE(CD5)+3/1440,1),"HH:MM")</f>
        <v/>
      </c>
      <c r="CE6" s="13">
        <f>TEXT(MOD(TIMEVALUE(CE5)+3/1440,1),"HH:MM")</f>
        <v/>
      </c>
      <c r="CF6" s="13">
        <f>TEXT(MOD(TIMEVALUE(CF5)+3/1440,1),"HH:MM")</f>
        <v/>
      </c>
      <c r="CG6" s="13">
        <f>TEXT(MOD(TIMEVALUE(CG5)+3/1440,1),"HH:MM")</f>
        <v/>
      </c>
      <c r="CH6" s="13">
        <f>TEXT(MOD(TIMEVALUE(CH5)+3/1440,1),"HH:MM")</f>
        <v/>
      </c>
      <c r="CI6" s="13">
        <f>TEXT(MOD(TIMEVALUE(CI5)+3/1440,1),"HH:MM")</f>
        <v/>
      </c>
      <c r="CJ6" s="13">
        <f>TEXT(MOD(TIMEVALUE(CJ5)+3/1440,1),"HH:MM")</f>
        <v/>
      </c>
      <c r="CK6" s="13">
        <f>TEXT(MOD(TIMEVALUE(CK5)+3/1440,1),"HH:MM")</f>
        <v/>
      </c>
      <c r="CL6" s="13">
        <f>TEXT(MOD(TIMEVALUE(CL5)+3/1440,1),"HH:MM")</f>
        <v/>
      </c>
      <c r="CM6" s="13">
        <f>TEXT(MOD(TIMEVALUE(CM5)+3/1440,1),"HH:MM")</f>
        <v/>
      </c>
      <c r="CN6" s="13">
        <f>TEXT(MOD(TIMEVALUE(CN5)+3/1440,1),"HH:MM")</f>
        <v/>
      </c>
      <c r="CO6" s="13">
        <f>TEXT(MOD(TIMEVALUE(CO5)+3/1440,1),"HH:MM")</f>
        <v/>
      </c>
    </row>
    <row r="7" ht="16.5" customHeight="1" s="26">
      <c r="A7" s="23" t="inlineStr">
        <is>
          <t>Pedro N. Arata</t>
        </is>
      </c>
      <c r="B7" s="15">
        <f>TEXT(MOD(TIMEVALUE(B5)+5/1440,1),"HH:MM")</f>
        <v/>
      </c>
      <c r="C7" s="15">
        <f>TEXT(MOD(TIMEVALUE(C5)+5/1440,1),"HH:MM")</f>
        <v/>
      </c>
      <c r="D7" s="15">
        <f>TEXT(MOD(TIMEVALUE(D5)+5/1440,1),"HH:MM")</f>
        <v/>
      </c>
      <c r="E7" s="15">
        <f>TEXT(MOD(TIMEVALUE(E5)+5/1440,1),"HH:MM")</f>
        <v/>
      </c>
      <c r="F7" s="15">
        <f>TEXT(MOD(TIMEVALUE(F5)+5/1440,1),"HH:MM")</f>
        <v/>
      </c>
      <c r="G7" s="15">
        <f>TEXT(MOD(TIMEVALUE(G5)+5/1440,1),"HH:MM")</f>
        <v/>
      </c>
      <c r="H7" s="15">
        <f>TEXT(MOD(TIMEVALUE(H5)+5/1440,1),"HH:MM")</f>
        <v/>
      </c>
      <c r="I7" s="15">
        <f>TEXT(MOD(TIMEVALUE(I5)+5/1440,1),"HH:MM")</f>
        <v/>
      </c>
      <c r="J7" s="15">
        <f>TEXT(MOD(TIMEVALUE(J5)+5/1440,1),"HH:MM")</f>
        <v/>
      </c>
      <c r="K7" s="15">
        <f>TEXT(MOD(TIMEVALUE(K5)+5/1440,1),"HH:MM")</f>
        <v/>
      </c>
      <c r="L7" s="15">
        <f>TEXT(MOD(TIMEVALUE(L5)+5/1440,1),"HH:MM")</f>
        <v/>
      </c>
      <c r="M7" s="15">
        <f>TEXT(MOD(TIMEVALUE(M5)+5/1440,1),"HH:MM")</f>
        <v/>
      </c>
      <c r="N7" s="15">
        <f>TEXT(MOD(TIMEVALUE(N5)+5/1440,1),"HH:MM")</f>
        <v/>
      </c>
      <c r="O7" s="15">
        <f>TEXT(MOD(TIMEVALUE(O5)+5/1440,1),"HH:MM")</f>
        <v/>
      </c>
      <c r="P7" s="15">
        <f>TEXT(MOD(TIMEVALUE(P5)+5/1440,1),"HH:MM")</f>
        <v/>
      </c>
      <c r="Q7" s="15">
        <f>TEXT(MOD(TIMEVALUE(Q5)+5/1440,1),"HH:MM")</f>
        <v/>
      </c>
      <c r="R7" s="15">
        <f>TEXT(MOD(TIMEVALUE(R5)+5/1440,1),"HH:MM")</f>
        <v/>
      </c>
      <c r="S7" s="15">
        <f>TEXT(MOD(TIMEVALUE(S5)+5/1440,1),"HH:MM")</f>
        <v/>
      </c>
      <c r="T7" s="15">
        <f>TEXT(MOD(TIMEVALUE(T5)+5/1440,1),"HH:MM")</f>
        <v/>
      </c>
      <c r="U7" s="15">
        <f>TEXT(MOD(TIMEVALUE(U5)+5/1440,1),"HH:MM")</f>
        <v/>
      </c>
      <c r="V7" s="15">
        <f>TEXT(MOD(TIMEVALUE(V5)+5/1440,1),"HH:MM")</f>
        <v/>
      </c>
      <c r="W7" s="15">
        <f>TEXT(MOD(TIMEVALUE(W5)+5/1440,1),"HH:MM")</f>
        <v/>
      </c>
      <c r="X7" s="15">
        <f>TEXT(MOD(TIMEVALUE(X5)+5/1440,1),"HH:MM")</f>
        <v/>
      </c>
      <c r="Y7" s="15">
        <f>TEXT(MOD(TIMEVALUE(Y5)+5/1440,1),"HH:MM")</f>
        <v/>
      </c>
      <c r="Z7" s="15">
        <f>TEXT(MOD(TIMEVALUE(Z5)+5/1440,1),"HH:MM")</f>
        <v/>
      </c>
      <c r="AA7" s="15">
        <f>TEXT(MOD(TIMEVALUE(AA5)+5/1440,1),"HH:MM")</f>
        <v/>
      </c>
      <c r="AB7" s="15">
        <f>TEXT(MOD(TIMEVALUE(AB5)+5/1440,1),"HH:MM")</f>
        <v/>
      </c>
      <c r="AC7" s="15">
        <f>TEXT(MOD(TIMEVALUE(AC5)+5/1440,1),"HH:MM")</f>
        <v/>
      </c>
      <c r="AD7" s="15">
        <f>TEXT(MOD(TIMEVALUE(AD5)+5/1440,1),"HH:MM")</f>
        <v/>
      </c>
      <c r="AE7" s="15">
        <f>TEXT(MOD(TIMEVALUE(AE5)+5/1440,1),"HH:MM")</f>
        <v/>
      </c>
      <c r="AF7" s="15">
        <f>TEXT(MOD(TIMEVALUE(AF5)+5/1440,1),"HH:MM")</f>
        <v/>
      </c>
      <c r="AG7" s="15">
        <f>TEXT(MOD(TIMEVALUE(AG5)+5/1440,1),"HH:MM")</f>
        <v/>
      </c>
      <c r="AH7" s="15">
        <f>TEXT(MOD(TIMEVALUE(AH5)+5/1440,1),"HH:MM")</f>
        <v/>
      </c>
      <c r="AI7" s="15">
        <f>TEXT(MOD(TIMEVALUE(AI5)+5/1440,1),"HH:MM")</f>
        <v/>
      </c>
      <c r="AJ7" s="15">
        <f>TEXT(MOD(TIMEVALUE(AJ5)+5/1440,1),"HH:MM")</f>
        <v/>
      </c>
      <c r="AK7" s="15">
        <f>TEXT(MOD(TIMEVALUE(AK5)+5/1440,1),"HH:MM")</f>
        <v/>
      </c>
      <c r="AL7" s="15">
        <f>TEXT(MOD(TIMEVALUE(AL5)+5/1440,1),"HH:MM")</f>
        <v/>
      </c>
      <c r="AM7" s="15">
        <f>TEXT(MOD(TIMEVALUE(AM5)+5/1440,1),"HH:MM")</f>
        <v/>
      </c>
      <c r="AN7" s="15">
        <f>TEXT(MOD(TIMEVALUE(AN5)+5/1440,1),"HH:MM")</f>
        <v/>
      </c>
      <c r="AO7" s="15">
        <f>TEXT(MOD(TIMEVALUE(AO5)+5/1440,1),"HH:MM")</f>
        <v/>
      </c>
      <c r="AP7" s="15">
        <f>TEXT(MOD(TIMEVALUE(AP5)+5/1440,1),"HH:MM")</f>
        <v/>
      </c>
      <c r="AQ7" s="15">
        <f>TEXT(MOD(TIMEVALUE(AQ5)+5/1440,1),"HH:MM")</f>
        <v/>
      </c>
      <c r="AR7" s="15">
        <f>TEXT(MOD(TIMEVALUE(AR5)+5/1440,1),"HH:MM")</f>
        <v/>
      </c>
      <c r="AS7" s="15">
        <f>TEXT(MOD(TIMEVALUE(AS5)+5/1440,1),"HH:MM")</f>
        <v/>
      </c>
      <c r="AT7" s="15">
        <f>TEXT(MOD(TIMEVALUE(AT5)+5/1440,1),"HH:MM")</f>
        <v/>
      </c>
      <c r="AU7" s="15">
        <f>TEXT(MOD(TIMEVALUE(AU5)+5/1440,1),"HH:MM")</f>
        <v/>
      </c>
      <c r="AV7" s="15">
        <f>TEXT(MOD(TIMEVALUE(AV5)+5/1440,1),"HH:MM")</f>
        <v/>
      </c>
      <c r="AW7" s="15">
        <f>TEXT(MOD(TIMEVALUE(AW5)+5/1440,1),"HH:MM")</f>
        <v/>
      </c>
      <c r="AX7" s="15">
        <f>TEXT(MOD(TIMEVALUE(AX5)+5/1440,1),"HH:MM")</f>
        <v/>
      </c>
      <c r="AY7" s="15">
        <f>TEXT(MOD(TIMEVALUE(AY5)+5/1440,1),"HH:MM")</f>
        <v/>
      </c>
      <c r="AZ7" s="15">
        <f>TEXT(MOD(TIMEVALUE(AZ5)+5/1440,1),"HH:MM")</f>
        <v/>
      </c>
      <c r="BA7" s="15">
        <f>TEXT(MOD(TIMEVALUE(BA5)+5/1440,1),"HH:MM")</f>
        <v/>
      </c>
      <c r="BB7" s="15">
        <f>TEXT(MOD(TIMEVALUE(BB5)+5/1440,1),"HH:MM")</f>
        <v/>
      </c>
      <c r="BC7" s="15">
        <f>TEXT(MOD(TIMEVALUE(BC5)+5/1440,1),"HH:MM")</f>
        <v/>
      </c>
      <c r="BD7" s="15">
        <f>TEXT(MOD(TIMEVALUE(BD5)+5/1440,1),"HH:MM")</f>
        <v/>
      </c>
      <c r="BE7" s="15">
        <f>TEXT(MOD(TIMEVALUE(BE5)+5/1440,1),"HH:MM")</f>
        <v/>
      </c>
      <c r="BF7" s="15">
        <f>TEXT(MOD(TIMEVALUE(BF5)+5/1440,1),"HH:MM")</f>
        <v/>
      </c>
      <c r="BG7" s="15">
        <f>TEXT(MOD(TIMEVALUE(BG5)+5/1440,1),"HH:MM")</f>
        <v/>
      </c>
      <c r="BH7" s="15">
        <f>TEXT(MOD(TIMEVALUE(BH5)+5/1440,1),"HH:MM")</f>
        <v/>
      </c>
      <c r="BI7" s="15">
        <f>TEXT(MOD(TIMEVALUE(BI5)+5/1440,1),"HH:MM")</f>
        <v/>
      </c>
      <c r="BJ7" s="15">
        <f>TEXT(MOD(TIMEVALUE(BJ5)+5/1440,1),"HH:MM")</f>
        <v/>
      </c>
      <c r="BK7" s="15">
        <f>TEXT(MOD(TIMEVALUE(BK5)+5/1440,1),"HH:MM")</f>
        <v/>
      </c>
      <c r="BL7" s="15">
        <f>TEXT(MOD(TIMEVALUE(BL5)+5/1440,1),"HH:MM")</f>
        <v/>
      </c>
      <c r="BM7" s="15">
        <f>TEXT(MOD(TIMEVALUE(BM5)+5/1440,1),"HH:MM")</f>
        <v/>
      </c>
      <c r="BN7" s="15">
        <f>TEXT(MOD(TIMEVALUE(BN5)+5/1440,1),"HH:MM")</f>
        <v/>
      </c>
      <c r="BO7" s="15">
        <f>TEXT(MOD(TIMEVALUE(BO5)+5/1440,1),"HH:MM")</f>
        <v/>
      </c>
      <c r="BP7" s="15">
        <f>TEXT(MOD(TIMEVALUE(BP5)+5/1440,1),"HH:MM")</f>
        <v/>
      </c>
      <c r="BQ7" s="15">
        <f>TEXT(MOD(TIMEVALUE(BQ5)+5/1440,1),"HH:MM")</f>
        <v/>
      </c>
      <c r="BR7" s="15">
        <f>TEXT(MOD(TIMEVALUE(BR5)+5/1440,1),"HH:MM")</f>
        <v/>
      </c>
      <c r="BS7" s="15">
        <f>TEXT(MOD(TIMEVALUE(BS5)+5/1440,1),"HH:MM")</f>
        <v/>
      </c>
      <c r="BT7" s="15">
        <f>TEXT(MOD(TIMEVALUE(BT5)+5/1440,1),"HH:MM")</f>
        <v/>
      </c>
      <c r="BU7" s="15">
        <f>TEXT(MOD(TIMEVALUE(BU5)+5/1440,1),"HH:MM")</f>
        <v/>
      </c>
      <c r="BV7" s="15">
        <f>TEXT(MOD(TIMEVALUE(BV5)+5/1440,1),"HH:MM")</f>
        <v/>
      </c>
      <c r="BW7" s="15">
        <f>TEXT(MOD(TIMEVALUE(BW5)+5/1440,1),"HH:MM")</f>
        <v/>
      </c>
      <c r="BX7" s="15">
        <f>TEXT(MOD(TIMEVALUE(BX5)+5/1440,1),"HH:MM")</f>
        <v/>
      </c>
      <c r="BY7" s="15">
        <f>TEXT(MOD(TIMEVALUE(BY5)+5/1440,1),"HH:MM")</f>
        <v/>
      </c>
      <c r="BZ7" s="15">
        <f>TEXT(MOD(TIMEVALUE(BZ5)+5/1440,1),"HH:MM")</f>
        <v/>
      </c>
      <c r="CA7" s="15">
        <f>TEXT(MOD(TIMEVALUE(CA5)+5/1440,1),"HH:MM")</f>
        <v/>
      </c>
      <c r="CB7" s="15">
        <f>TEXT(MOD(TIMEVALUE(CB5)+5/1440,1),"HH:MM")</f>
        <v/>
      </c>
      <c r="CC7" s="15">
        <f>TEXT(MOD(TIMEVALUE(CC5)+5/1440,1),"HH:MM")</f>
        <v/>
      </c>
      <c r="CD7" s="15">
        <f>TEXT(MOD(TIMEVALUE(CD5)+5/1440,1),"HH:MM")</f>
        <v/>
      </c>
      <c r="CE7" s="15">
        <f>TEXT(MOD(TIMEVALUE(CE5)+5/1440,1),"HH:MM")</f>
        <v/>
      </c>
      <c r="CF7" s="15">
        <f>TEXT(MOD(TIMEVALUE(CF5)+5/1440,1),"HH:MM")</f>
        <v/>
      </c>
      <c r="CG7" s="15">
        <f>TEXT(MOD(TIMEVALUE(CG5)+5/1440,1),"HH:MM")</f>
        <v/>
      </c>
      <c r="CH7" s="15">
        <f>TEXT(MOD(TIMEVALUE(CH5)+5/1440,1),"HH:MM")</f>
        <v/>
      </c>
      <c r="CI7" s="15">
        <f>TEXT(MOD(TIMEVALUE(CI5)+5/1440,1),"HH:MM")</f>
        <v/>
      </c>
      <c r="CJ7" s="15">
        <f>TEXT(MOD(TIMEVALUE(CJ5)+5/1440,1),"HH:MM")</f>
        <v/>
      </c>
      <c r="CK7" s="15">
        <f>TEXT(MOD(TIMEVALUE(CK5)+5/1440,1),"HH:MM")</f>
        <v/>
      </c>
      <c r="CL7" s="15">
        <f>TEXT(MOD(TIMEVALUE(CL5)+5/1440,1),"HH:MM")</f>
        <v/>
      </c>
      <c r="CM7" s="15">
        <f>TEXT(MOD(TIMEVALUE(CM5)+5/1440,1),"HH:MM")</f>
        <v/>
      </c>
      <c r="CN7" s="15">
        <f>TEXT(MOD(TIMEVALUE(CN5)+5/1440,1),"HH:MM")</f>
        <v/>
      </c>
      <c r="CO7" s="15">
        <f>TEXT(MOD(TIMEVALUE(CO5)+5/1440,1),"HH:MM")</f>
        <v/>
      </c>
    </row>
    <row r="8" ht="16.5" customHeight="1" s="26">
      <c r="A8" s="22" t="inlineStr">
        <is>
          <t>Dr. Fco. Beiró</t>
        </is>
      </c>
      <c r="B8" s="13">
        <f>TEXT(MOD(TIMEVALUE(B5)+7/1440,1),"HH:MM")</f>
        <v/>
      </c>
      <c r="C8" s="13">
        <f>TEXT(MOD(TIMEVALUE(C5)+7/1440,1),"HH:MM")</f>
        <v/>
      </c>
      <c r="D8" s="13">
        <f>TEXT(MOD(TIMEVALUE(D5)+7/1440,1),"HH:MM")</f>
        <v/>
      </c>
      <c r="E8" s="13">
        <f>TEXT(MOD(TIMEVALUE(E5)+7/1440,1),"HH:MM")</f>
        <v/>
      </c>
      <c r="F8" s="13">
        <f>TEXT(MOD(TIMEVALUE(F5)+7/1440,1),"HH:MM")</f>
        <v/>
      </c>
      <c r="G8" s="13">
        <f>TEXT(MOD(TIMEVALUE(G5)+7/1440,1),"HH:MM")</f>
        <v/>
      </c>
      <c r="H8" s="13">
        <f>TEXT(MOD(TIMEVALUE(H5)+7/1440,1),"HH:MM")</f>
        <v/>
      </c>
      <c r="I8" s="13">
        <f>TEXT(MOD(TIMEVALUE(I5)+7/1440,1),"HH:MM")</f>
        <v/>
      </c>
      <c r="J8" s="13">
        <f>TEXT(MOD(TIMEVALUE(J5)+7/1440,1),"HH:MM")</f>
        <v/>
      </c>
      <c r="K8" s="13">
        <f>TEXT(MOD(TIMEVALUE(K5)+7/1440,1),"HH:MM")</f>
        <v/>
      </c>
      <c r="L8" s="13">
        <f>TEXT(MOD(TIMEVALUE(L5)+7/1440,1),"HH:MM")</f>
        <v/>
      </c>
      <c r="M8" s="13">
        <f>TEXT(MOD(TIMEVALUE(M5)+7/1440,1),"HH:MM")</f>
        <v/>
      </c>
      <c r="N8" s="13">
        <f>TEXT(MOD(TIMEVALUE(N5)+7/1440,1),"HH:MM")</f>
        <v/>
      </c>
      <c r="O8" s="13">
        <f>TEXT(MOD(TIMEVALUE(O5)+7/1440,1),"HH:MM")</f>
        <v/>
      </c>
      <c r="P8" s="13">
        <f>TEXT(MOD(TIMEVALUE(P5)+7/1440,1),"HH:MM")</f>
        <v/>
      </c>
      <c r="Q8" s="13">
        <f>TEXT(MOD(TIMEVALUE(Q5)+7/1440,1),"HH:MM")</f>
        <v/>
      </c>
      <c r="R8" s="13">
        <f>TEXT(MOD(TIMEVALUE(R5)+7/1440,1),"HH:MM")</f>
        <v/>
      </c>
      <c r="S8" s="13">
        <f>TEXT(MOD(TIMEVALUE(S5)+7/1440,1),"HH:MM")</f>
        <v/>
      </c>
      <c r="T8" s="13">
        <f>TEXT(MOD(TIMEVALUE(T5)+7/1440,1),"HH:MM")</f>
        <v/>
      </c>
      <c r="U8" s="13">
        <f>TEXT(MOD(TIMEVALUE(U5)+7/1440,1),"HH:MM")</f>
        <v/>
      </c>
      <c r="V8" s="13">
        <f>TEXT(MOD(TIMEVALUE(V5)+7/1440,1),"HH:MM")</f>
        <v/>
      </c>
      <c r="W8" s="13">
        <f>TEXT(MOD(TIMEVALUE(W5)+7/1440,1),"HH:MM")</f>
        <v/>
      </c>
      <c r="X8" s="13">
        <f>TEXT(MOD(TIMEVALUE(X5)+7/1440,1),"HH:MM")</f>
        <v/>
      </c>
      <c r="Y8" s="13">
        <f>TEXT(MOD(TIMEVALUE(Y5)+7/1440,1),"HH:MM")</f>
        <v/>
      </c>
      <c r="Z8" s="13">
        <f>TEXT(MOD(TIMEVALUE(Z5)+7/1440,1),"HH:MM")</f>
        <v/>
      </c>
      <c r="AA8" s="13">
        <f>TEXT(MOD(TIMEVALUE(AA5)+7/1440,1),"HH:MM")</f>
        <v/>
      </c>
      <c r="AB8" s="13">
        <f>TEXT(MOD(TIMEVALUE(AB5)+7/1440,1),"HH:MM")</f>
        <v/>
      </c>
      <c r="AC8" s="13">
        <f>TEXT(MOD(TIMEVALUE(AC5)+7/1440,1),"HH:MM")</f>
        <v/>
      </c>
      <c r="AD8" s="13">
        <f>TEXT(MOD(TIMEVALUE(AD5)+7/1440,1),"HH:MM")</f>
        <v/>
      </c>
      <c r="AE8" s="13">
        <f>TEXT(MOD(TIMEVALUE(AE5)+7/1440,1),"HH:MM")</f>
        <v/>
      </c>
      <c r="AF8" s="13">
        <f>TEXT(MOD(TIMEVALUE(AF5)+7/1440,1),"HH:MM")</f>
        <v/>
      </c>
      <c r="AG8" s="13">
        <f>TEXT(MOD(TIMEVALUE(AG5)+7/1440,1),"HH:MM")</f>
        <v/>
      </c>
      <c r="AH8" s="13">
        <f>TEXT(MOD(TIMEVALUE(AH5)+7/1440,1),"HH:MM")</f>
        <v/>
      </c>
      <c r="AI8" s="13">
        <f>TEXT(MOD(TIMEVALUE(AI5)+7/1440,1),"HH:MM")</f>
        <v/>
      </c>
      <c r="AJ8" s="13">
        <f>TEXT(MOD(TIMEVALUE(AJ5)+7/1440,1),"HH:MM")</f>
        <v/>
      </c>
      <c r="AK8" s="13">
        <f>TEXT(MOD(TIMEVALUE(AK5)+7/1440,1),"HH:MM")</f>
        <v/>
      </c>
      <c r="AL8" s="13">
        <f>TEXT(MOD(TIMEVALUE(AL5)+7/1440,1),"HH:MM")</f>
        <v/>
      </c>
      <c r="AM8" s="13">
        <f>TEXT(MOD(TIMEVALUE(AM5)+7/1440,1),"HH:MM")</f>
        <v/>
      </c>
      <c r="AN8" s="13">
        <f>TEXT(MOD(TIMEVALUE(AN5)+7/1440,1),"HH:MM")</f>
        <v/>
      </c>
      <c r="AO8" s="13">
        <f>TEXT(MOD(TIMEVALUE(AO5)+7/1440,1),"HH:MM")</f>
        <v/>
      </c>
      <c r="AP8" s="13">
        <f>TEXT(MOD(TIMEVALUE(AP5)+7/1440,1),"HH:MM")</f>
        <v/>
      </c>
      <c r="AQ8" s="13">
        <f>TEXT(MOD(TIMEVALUE(AQ5)+7/1440,1),"HH:MM")</f>
        <v/>
      </c>
      <c r="AR8" s="13">
        <f>TEXT(MOD(TIMEVALUE(AR5)+7/1440,1),"HH:MM")</f>
        <v/>
      </c>
      <c r="AS8" s="13">
        <f>TEXT(MOD(TIMEVALUE(AS5)+7/1440,1),"HH:MM")</f>
        <v/>
      </c>
      <c r="AT8" s="13">
        <f>TEXT(MOD(TIMEVALUE(AT5)+7/1440,1),"HH:MM")</f>
        <v/>
      </c>
      <c r="AU8" s="13">
        <f>TEXT(MOD(TIMEVALUE(AU5)+7/1440,1),"HH:MM")</f>
        <v/>
      </c>
      <c r="AV8" s="13">
        <f>TEXT(MOD(TIMEVALUE(AV5)+7/1440,1),"HH:MM")</f>
        <v/>
      </c>
      <c r="AW8" s="13">
        <f>TEXT(MOD(TIMEVALUE(AW5)+7/1440,1),"HH:MM")</f>
        <v/>
      </c>
      <c r="AX8" s="13">
        <f>TEXT(MOD(TIMEVALUE(AX5)+7/1440,1),"HH:MM")</f>
        <v/>
      </c>
      <c r="AY8" s="13">
        <f>TEXT(MOD(TIMEVALUE(AY5)+7/1440,1),"HH:MM")</f>
        <v/>
      </c>
      <c r="AZ8" s="13">
        <f>TEXT(MOD(TIMEVALUE(AZ5)+7/1440,1),"HH:MM")</f>
        <v/>
      </c>
      <c r="BA8" s="13">
        <f>TEXT(MOD(TIMEVALUE(BA5)+7/1440,1),"HH:MM")</f>
        <v/>
      </c>
      <c r="BB8" s="13">
        <f>TEXT(MOD(TIMEVALUE(BB5)+7/1440,1),"HH:MM")</f>
        <v/>
      </c>
      <c r="BC8" s="13">
        <f>TEXT(MOD(TIMEVALUE(BC5)+7/1440,1),"HH:MM")</f>
        <v/>
      </c>
      <c r="BD8" s="13">
        <f>TEXT(MOD(TIMEVALUE(BD5)+7/1440,1),"HH:MM")</f>
        <v/>
      </c>
      <c r="BE8" s="13">
        <f>TEXT(MOD(TIMEVALUE(BE5)+7/1440,1),"HH:MM")</f>
        <v/>
      </c>
      <c r="BF8" s="13">
        <f>TEXT(MOD(TIMEVALUE(BF5)+7/1440,1),"HH:MM")</f>
        <v/>
      </c>
      <c r="BG8" s="13">
        <f>TEXT(MOD(TIMEVALUE(BG5)+7/1440,1),"HH:MM")</f>
        <v/>
      </c>
      <c r="BH8" s="13">
        <f>TEXT(MOD(TIMEVALUE(BH5)+7/1440,1),"HH:MM")</f>
        <v/>
      </c>
      <c r="BI8" s="13">
        <f>TEXT(MOD(TIMEVALUE(BI5)+7/1440,1),"HH:MM")</f>
        <v/>
      </c>
      <c r="BJ8" s="13">
        <f>TEXT(MOD(TIMEVALUE(BJ5)+7/1440,1),"HH:MM")</f>
        <v/>
      </c>
      <c r="BK8" s="13">
        <f>TEXT(MOD(TIMEVALUE(BK5)+7/1440,1),"HH:MM")</f>
        <v/>
      </c>
      <c r="BL8" s="13">
        <f>TEXT(MOD(TIMEVALUE(BL5)+7/1440,1),"HH:MM")</f>
        <v/>
      </c>
      <c r="BM8" s="13">
        <f>TEXT(MOD(TIMEVALUE(BM5)+7/1440,1),"HH:MM")</f>
        <v/>
      </c>
      <c r="BN8" s="13">
        <f>TEXT(MOD(TIMEVALUE(BN5)+7/1440,1),"HH:MM")</f>
        <v/>
      </c>
      <c r="BO8" s="13">
        <f>TEXT(MOD(TIMEVALUE(BO5)+7/1440,1),"HH:MM")</f>
        <v/>
      </c>
      <c r="BP8" s="13">
        <f>TEXT(MOD(TIMEVALUE(BP5)+7/1440,1),"HH:MM")</f>
        <v/>
      </c>
      <c r="BQ8" s="13">
        <f>TEXT(MOD(TIMEVALUE(BQ5)+7/1440,1),"HH:MM")</f>
        <v/>
      </c>
      <c r="BR8" s="13">
        <f>TEXT(MOD(TIMEVALUE(BR5)+7/1440,1),"HH:MM")</f>
        <v/>
      </c>
      <c r="BS8" s="13">
        <f>TEXT(MOD(TIMEVALUE(BS5)+7/1440,1),"HH:MM")</f>
        <v/>
      </c>
      <c r="BT8" s="13">
        <f>TEXT(MOD(TIMEVALUE(BT5)+7/1440,1),"HH:MM")</f>
        <v/>
      </c>
      <c r="BU8" s="13">
        <f>TEXT(MOD(TIMEVALUE(BU5)+7/1440,1),"HH:MM")</f>
        <v/>
      </c>
      <c r="BV8" s="13">
        <f>TEXT(MOD(TIMEVALUE(BV5)+7/1440,1),"HH:MM")</f>
        <v/>
      </c>
      <c r="BW8" s="13">
        <f>TEXT(MOD(TIMEVALUE(BW5)+7/1440,1),"HH:MM")</f>
        <v/>
      </c>
      <c r="BX8" s="13">
        <f>TEXT(MOD(TIMEVALUE(BX5)+7/1440,1),"HH:MM")</f>
        <v/>
      </c>
      <c r="BY8" s="13">
        <f>TEXT(MOD(TIMEVALUE(BY5)+7/1440,1),"HH:MM")</f>
        <v/>
      </c>
      <c r="BZ8" s="13">
        <f>TEXT(MOD(TIMEVALUE(BZ5)+7/1440,1),"HH:MM")</f>
        <v/>
      </c>
      <c r="CA8" s="13">
        <f>TEXT(MOD(TIMEVALUE(CA5)+7/1440,1),"HH:MM")</f>
        <v/>
      </c>
      <c r="CB8" s="13">
        <f>TEXT(MOD(TIMEVALUE(CB5)+7/1440,1),"HH:MM")</f>
        <v/>
      </c>
      <c r="CC8" s="13">
        <f>TEXT(MOD(TIMEVALUE(CC5)+7/1440,1),"HH:MM")</f>
        <v/>
      </c>
      <c r="CD8" s="13">
        <f>TEXT(MOD(TIMEVALUE(CD5)+7/1440,1),"HH:MM")</f>
        <v/>
      </c>
      <c r="CE8" s="13">
        <f>TEXT(MOD(TIMEVALUE(CE5)+7/1440,1),"HH:MM")</f>
        <v/>
      </c>
      <c r="CF8" s="13">
        <f>TEXT(MOD(TIMEVALUE(CF5)+7/1440,1),"HH:MM")</f>
        <v/>
      </c>
      <c r="CG8" s="13">
        <f>TEXT(MOD(TIMEVALUE(CG5)+7/1440,1),"HH:MM")</f>
        <v/>
      </c>
      <c r="CH8" s="13">
        <f>TEXT(MOD(TIMEVALUE(CH5)+7/1440,1),"HH:MM")</f>
        <v/>
      </c>
      <c r="CI8" s="13">
        <f>TEXT(MOD(TIMEVALUE(CI5)+7/1440,1),"HH:MM")</f>
        <v/>
      </c>
      <c r="CJ8" s="13">
        <f>TEXT(MOD(TIMEVALUE(CJ5)+7/1440,1),"HH:MM")</f>
        <v/>
      </c>
      <c r="CK8" s="13">
        <f>TEXT(MOD(TIMEVALUE(CK5)+7/1440,1),"HH:MM")</f>
        <v/>
      </c>
      <c r="CL8" s="13">
        <f>TEXT(MOD(TIMEVALUE(CL5)+7/1440,1),"HH:MM")</f>
        <v/>
      </c>
      <c r="CM8" s="13">
        <f>TEXT(MOD(TIMEVALUE(CM5)+7/1440,1),"HH:MM")</f>
        <v/>
      </c>
      <c r="CN8" s="13">
        <f>TEXT(MOD(TIMEVALUE(CN5)+7/1440,1),"HH:MM")</f>
        <v/>
      </c>
      <c r="CO8" s="13">
        <f>TEXT(MOD(TIMEVALUE(CO5)+7/1440,1),"HH:MM")</f>
        <v/>
      </c>
    </row>
    <row r="9" ht="16.5" customHeight="1" s="26">
      <c r="A9" s="23" t="inlineStr">
        <is>
          <t>El Libertador</t>
        </is>
      </c>
      <c r="B9" s="15">
        <f>TEXT(MOD(TIMEVALUE(B5)+9/1440,1),"HH:MM")</f>
        <v/>
      </c>
      <c r="C9" s="15">
        <f>TEXT(MOD(TIMEVALUE(C5)+9/1440,1),"HH:MM")</f>
        <v/>
      </c>
      <c r="D9" s="15">
        <f>TEXT(MOD(TIMEVALUE(D5)+9/1440,1),"HH:MM")</f>
        <v/>
      </c>
      <c r="E9" s="15">
        <f>TEXT(MOD(TIMEVALUE(E5)+9/1440,1),"HH:MM")</f>
        <v/>
      </c>
      <c r="F9" s="15">
        <f>TEXT(MOD(TIMEVALUE(F5)+9/1440,1),"HH:MM")</f>
        <v/>
      </c>
      <c r="G9" s="15">
        <f>TEXT(MOD(TIMEVALUE(G5)+9/1440,1),"HH:MM")</f>
        <v/>
      </c>
      <c r="H9" s="15">
        <f>TEXT(MOD(TIMEVALUE(H5)+9/1440,1),"HH:MM")</f>
        <v/>
      </c>
      <c r="I9" s="15">
        <f>TEXT(MOD(TIMEVALUE(I5)+9/1440,1),"HH:MM")</f>
        <v/>
      </c>
      <c r="J9" s="15">
        <f>TEXT(MOD(TIMEVALUE(J5)+9/1440,1),"HH:MM")</f>
        <v/>
      </c>
      <c r="K9" s="15">
        <f>TEXT(MOD(TIMEVALUE(K5)+9/1440,1),"HH:MM")</f>
        <v/>
      </c>
      <c r="L9" s="15">
        <f>TEXT(MOD(TIMEVALUE(L5)+9/1440,1),"HH:MM")</f>
        <v/>
      </c>
      <c r="M9" s="15">
        <f>TEXT(MOD(TIMEVALUE(M5)+9/1440,1),"HH:MM")</f>
        <v/>
      </c>
      <c r="N9" s="15">
        <f>TEXT(MOD(TIMEVALUE(N5)+9/1440,1),"HH:MM")</f>
        <v/>
      </c>
      <c r="O9" s="15">
        <f>TEXT(MOD(TIMEVALUE(O5)+9/1440,1),"HH:MM")</f>
        <v/>
      </c>
      <c r="P9" s="15">
        <f>TEXT(MOD(TIMEVALUE(P5)+9/1440,1),"HH:MM")</f>
        <v/>
      </c>
      <c r="Q9" s="15">
        <f>TEXT(MOD(TIMEVALUE(Q5)+9/1440,1),"HH:MM")</f>
        <v/>
      </c>
      <c r="R9" s="15">
        <f>TEXT(MOD(TIMEVALUE(R5)+9/1440,1),"HH:MM")</f>
        <v/>
      </c>
      <c r="S9" s="15">
        <f>TEXT(MOD(TIMEVALUE(S5)+9/1440,1),"HH:MM")</f>
        <v/>
      </c>
      <c r="T9" s="15">
        <f>TEXT(MOD(TIMEVALUE(T5)+9/1440,1),"HH:MM")</f>
        <v/>
      </c>
      <c r="U9" s="15">
        <f>TEXT(MOD(TIMEVALUE(U5)+9/1440,1),"HH:MM")</f>
        <v/>
      </c>
      <c r="V9" s="15">
        <f>TEXT(MOD(TIMEVALUE(V5)+9/1440,1),"HH:MM")</f>
        <v/>
      </c>
      <c r="W9" s="15">
        <f>TEXT(MOD(TIMEVALUE(W5)+9/1440,1),"HH:MM")</f>
        <v/>
      </c>
      <c r="X9" s="15">
        <f>TEXT(MOD(TIMEVALUE(X5)+9/1440,1),"HH:MM")</f>
        <v/>
      </c>
      <c r="Y9" s="15">
        <f>TEXT(MOD(TIMEVALUE(Y5)+9/1440,1),"HH:MM")</f>
        <v/>
      </c>
      <c r="Z9" s="15">
        <f>TEXT(MOD(TIMEVALUE(Z5)+9/1440,1),"HH:MM")</f>
        <v/>
      </c>
      <c r="AA9" s="15">
        <f>TEXT(MOD(TIMEVALUE(AA5)+9/1440,1),"HH:MM")</f>
        <v/>
      </c>
      <c r="AB9" s="15">
        <f>TEXT(MOD(TIMEVALUE(AB5)+9/1440,1),"HH:MM")</f>
        <v/>
      </c>
      <c r="AC9" s="15">
        <f>TEXT(MOD(TIMEVALUE(AC5)+9/1440,1),"HH:MM")</f>
        <v/>
      </c>
      <c r="AD9" s="15">
        <f>TEXT(MOD(TIMEVALUE(AD5)+9/1440,1),"HH:MM")</f>
        <v/>
      </c>
      <c r="AE9" s="15">
        <f>TEXT(MOD(TIMEVALUE(AE5)+9/1440,1),"HH:MM")</f>
        <v/>
      </c>
      <c r="AF9" s="15">
        <f>TEXT(MOD(TIMEVALUE(AF5)+9/1440,1),"HH:MM")</f>
        <v/>
      </c>
      <c r="AG9" s="15">
        <f>TEXT(MOD(TIMEVALUE(AG5)+9/1440,1),"HH:MM")</f>
        <v/>
      </c>
      <c r="AH9" s="15">
        <f>TEXT(MOD(TIMEVALUE(AH5)+9/1440,1),"HH:MM")</f>
        <v/>
      </c>
      <c r="AI9" s="15">
        <f>TEXT(MOD(TIMEVALUE(AI5)+9/1440,1),"HH:MM")</f>
        <v/>
      </c>
      <c r="AJ9" s="15">
        <f>TEXT(MOD(TIMEVALUE(AJ5)+9/1440,1),"HH:MM")</f>
        <v/>
      </c>
      <c r="AK9" s="15">
        <f>TEXT(MOD(TIMEVALUE(AK5)+9/1440,1),"HH:MM")</f>
        <v/>
      </c>
      <c r="AL9" s="15">
        <f>TEXT(MOD(TIMEVALUE(AL5)+9/1440,1),"HH:MM")</f>
        <v/>
      </c>
      <c r="AM9" s="15">
        <f>TEXT(MOD(TIMEVALUE(AM5)+9/1440,1),"HH:MM")</f>
        <v/>
      </c>
      <c r="AN9" s="15">
        <f>TEXT(MOD(TIMEVALUE(AN5)+9/1440,1),"HH:MM")</f>
        <v/>
      </c>
      <c r="AO9" s="15">
        <f>TEXT(MOD(TIMEVALUE(AO5)+9/1440,1),"HH:MM")</f>
        <v/>
      </c>
      <c r="AP9" s="15">
        <f>TEXT(MOD(TIMEVALUE(AP5)+9/1440,1),"HH:MM")</f>
        <v/>
      </c>
      <c r="AQ9" s="15">
        <f>TEXT(MOD(TIMEVALUE(AQ5)+9/1440,1),"HH:MM")</f>
        <v/>
      </c>
      <c r="AR9" s="15">
        <f>TEXT(MOD(TIMEVALUE(AR5)+9/1440,1),"HH:MM")</f>
        <v/>
      </c>
      <c r="AS9" s="15">
        <f>TEXT(MOD(TIMEVALUE(AS5)+9/1440,1),"HH:MM")</f>
        <v/>
      </c>
      <c r="AT9" s="15">
        <f>TEXT(MOD(TIMEVALUE(AT5)+9/1440,1),"HH:MM")</f>
        <v/>
      </c>
      <c r="AU9" s="15">
        <f>TEXT(MOD(TIMEVALUE(AU5)+9/1440,1),"HH:MM")</f>
        <v/>
      </c>
      <c r="AV9" s="15">
        <f>TEXT(MOD(TIMEVALUE(AV5)+9/1440,1),"HH:MM")</f>
        <v/>
      </c>
      <c r="AW9" s="15">
        <f>TEXT(MOD(TIMEVALUE(AW5)+9/1440,1),"HH:MM")</f>
        <v/>
      </c>
      <c r="AX9" s="15">
        <f>TEXT(MOD(TIMEVALUE(AX5)+9/1440,1),"HH:MM")</f>
        <v/>
      </c>
      <c r="AY9" s="15">
        <f>TEXT(MOD(TIMEVALUE(AY5)+9/1440,1),"HH:MM")</f>
        <v/>
      </c>
      <c r="AZ9" s="15">
        <f>TEXT(MOD(TIMEVALUE(AZ5)+9/1440,1),"HH:MM")</f>
        <v/>
      </c>
      <c r="BA9" s="15">
        <f>TEXT(MOD(TIMEVALUE(BA5)+9/1440,1),"HH:MM")</f>
        <v/>
      </c>
      <c r="BB9" s="15">
        <f>TEXT(MOD(TIMEVALUE(BB5)+9/1440,1),"HH:MM")</f>
        <v/>
      </c>
      <c r="BC9" s="15">
        <f>TEXT(MOD(TIMEVALUE(BC5)+9/1440,1),"HH:MM")</f>
        <v/>
      </c>
      <c r="BD9" s="15">
        <f>TEXT(MOD(TIMEVALUE(BD5)+9/1440,1),"HH:MM")</f>
        <v/>
      </c>
      <c r="BE9" s="15">
        <f>TEXT(MOD(TIMEVALUE(BE5)+9/1440,1),"HH:MM")</f>
        <v/>
      </c>
      <c r="BF9" s="15">
        <f>TEXT(MOD(TIMEVALUE(BF5)+9/1440,1),"HH:MM")</f>
        <v/>
      </c>
      <c r="BG9" s="15">
        <f>TEXT(MOD(TIMEVALUE(BG5)+9/1440,1),"HH:MM")</f>
        <v/>
      </c>
      <c r="BH9" s="15">
        <f>TEXT(MOD(TIMEVALUE(BH5)+9/1440,1),"HH:MM")</f>
        <v/>
      </c>
      <c r="BI9" s="15">
        <f>TEXT(MOD(TIMEVALUE(BI5)+9/1440,1),"HH:MM")</f>
        <v/>
      </c>
      <c r="BJ9" s="15">
        <f>TEXT(MOD(TIMEVALUE(BJ5)+9/1440,1),"HH:MM")</f>
        <v/>
      </c>
      <c r="BK9" s="15">
        <f>TEXT(MOD(TIMEVALUE(BK5)+9/1440,1),"HH:MM")</f>
        <v/>
      </c>
      <c r="BL9" s="15">
        <f>TEXT(MOD(TIMEVALUE(BL5)+9/1440,1),"HH:MM")</f>
        <v/>
      </c>
      <c r="BM9" s="15">
        <f>TEXT(MOD(TIMEVALUE(BM5)+9/1440,1),"HH:MM")</f>
        <v/>
      </c>
      <c r="BN9" s="15">
        <f>TEXT(MOD(TIMEVALUE(BN5)+9/1440,1),"HH:MM")</f>
        <v/>
      </c>
      <c r="BO9" s="15">
        <f>TEXT(MOD(TIMEVALUE(BO5)+9/1440,1),"HH:MM")</f>
        <v/>
      </c>
      <c r="BP9" s="15">
        <f>TEXT(MOD(TIMEVALUE(BP5)+9/1440,1),"HH:MM")</f>
        <v/>
      </c>
      <c r="BQ9" s="15">
        <f>TEXT(MOD(TIMEVALUE(BQ5)+9/1440,1),"HH:MM")</f>
        <v/>
      </c>
      <c r="BR9" s="15">
        <f>TEXT(MOD(TIMEVALUE(BR5)+9/1440,1),"HH:MM")</f>
        <v/>
      </c>
      <c r="BS9" s="15">
        <f>TEXT(MOD(TIMEVALUE(BS5)+9/1440,1),"HH:MM")</f>
        <v/>
      </c>
      <c r="BT9" s="15">
        <f>TEXT(MOD(TIMEVALUE(BT5)+9/1440,1),"HH:MM")</f>
        <v/>
      </c>
      <c r="BU9" s="15">
        <f>TEXT(MOD(TIMEVALUE(BU5)+9/1440,1),"HH:MM")</f>
        <v/>
      </c>
      <c r="BV9" s="15">
        <f>TEXT(MOD(TIMEVALUE(BV5)+9/1440,1),"HH:MM")</f>
        <v/>
      </c>
      <c r="BW9" s="15">
        <f>TEXT(MOD(TIMEVALUE(BW5)+9/1440,1),"HH:MM")</f>
        <v/>
      </c>
      <c r="BX9" s="15">
        <f>TEXT(MOD(TIMEVALUE(BX5)+9/1440,1),"HH:MM")</f>
        <v/>
      </c>
      <c r="BY9" s="15">
        <f>TEXT(MOD(TIMEVALUE(BY5)+9/1440,1),"HH:MM")</f>
        <v/>
      </c>
      <c r="BZ9" s="15">
        <f>TEXT(MOD(TIMEVALUE(BZ5)+9/1440,1),"HH:MM")</f>
        <v/>
      </c>
      <c r="CA9" s="15">
        <f>TEXT(MOD(TIMEVALUE(CA5)+9/1440,1),"HH:MM")</f>
        <v/>
      </c>
      <c r="CB9" s="15">
        <f>TEXT(MOD(TIMEVALUE(CB5)+9/1440,1),"HH:MM")</f>
        <v/>
      </c>
      <c r="CC9" s="15">
        <f>TEXT(MOD(TIMEVALUE(CC5)+9/1440,1),"HH:MM")</f>
        <v/>
      </c>
      <c r="CD9" s="15">
        <f>TEXT(MOD(TIMEVALUE(CD5)+9/1440,1),"HH:MM")</f>
        <v/>
      </c>
      <c r="CE9" s="15">
        <f>TEXT(MOD(TIMEVALUE(CE5)+9/1440,1),"HH:MM")</f>
        <v/>
      </c>
      <c r="CF9" s="15">
        <f>TEXT(MOD(TIMEVALUE(CF5)+9/1440,1),"HH:MM")</f>
        <v/>
      </c>
      <c r="CG9" s="15">
        <f>TEXT(MOD(TIMEVALUE(CG5)+9/1440,1),"HH:MM")</f>
        <v/>
      </c>
      <c r="CH9" s="15">
        <f>TEXT(MOD(TIMEVALUE(CH5)+9/1440,1),"HH:MM")</f>
        <v/>
      </c>
      <c r="CI9" s="15">
        <f>TEXT(MOD(TIMEVALUE(CI5)+9/1440,1),"HH:MM")</f>
        <v/>
      </c>
      <c r="CJ9" s="15">
        <f>TEXT(MOD(TIMEVALUE(CJ5)+9/1440,1),"HH:MM")</f>
        <v/>
      </c>
      <c r="CK9" s="15">
        <f>TEXT(MOD(TIMEVALUE(CK5)+9/1440,1),"HH:MM")</f>
        <v/>
      </c>
      <c r="CL9" s="15">
        <f>TEXT(MOD(TIMEVALUE(CL5)+9/1440,1),"HH:MM")</f>
        <v/>
      </c>
      <c r="CM9" s="15">
        <f>TEXT(MOD(TIMEVALUE(CM5)+9/1440,1),"HH:MM")</f>
        <v/>
      </c>
      <c r="CN9" s="15">
        <f>TEXT(MOD(TIMEVALUE(CN5)+9/1440,1),"HH:MM")</f>
        <v/>
      </c>
      <c r="CO9" s="15">
        <f>TEXT(MOD(TIMEVALUE(CO5)+9/1440,1),"HH:MM")</f>
        <v/>
      </c>
    </row>
    <row r="10" ht="16.5" customHeight="1" s="26">
      <c r="A10" s="22" t="inlineStr">
        <is>
          <t>Antonio Devoto</t>
        </is>
      </c>
      <c r="B10" s="13">
        <f>TEXT(MOD(TIMEVALUE(B5)+11/1440,1),"HH:MM")</f>
        <v/>
      </c>
      <c r="C10" s="13">
        <f>TEXT(MOD(TIMEVALUE(C5)+11/1440,1),"HH:MM")</f>
        <v/>
      </c>
      <c r="D10" s="13">
        <f>TEXT(MOD(TIMEVALUE(D5)+11/1440,1),"HH:MM")</f>
        <v/>
      </c>
      <c r="E10" s="13">
        <f>TEXT(MOD(TIMEVALUE(E5)+11/1440,1),"HH:MM")</f>
        <v/>
      </c>
      <c r="F10" s="13">
        <f>TEXT(MOD(TIMEVALUE(F5)+11/1440,1),"HH:MM")</f>
        <v/>
      </c>
      <c r="G10" s="13">
        <f>TEXT(MOD(TIMEVALUE(G5)+11/1440,1),"HH:MM")</f>
        <v/>
      </c>
      <c r="H10" s="13">
        <f>TEXT(MOD(TIMEVALUE(H5)+11/1440,1),"HH:MM")</f>
        <v/>
      </c>
      <c r="I10" s="13">
        <f>TEXT(MOD(TIMEVALUE(I5)+11/1440,1),"HH:MM")</f>
        <v/>
      </c>
      <c r="J10" s="13">
        <f>TEXT(MOD(TIMEVALUE(J5)+11/1440,1),"HH:MM")</f>
        <v/>
      </c>
      <c r="K10" s="13">
        <f>TEXT(MOD(TIMEVALUE(K5)+11/1440,1),"HH:MM")</f>
        <v/>
      </c>
      <c r="L10" s="13">
        <f>TEXT(MOD(TIMEVALUE(L5)+11/1440,1),"HH:MM")</f>
        <v/>
      </c>
      <c r="M10" s="13">
        <f>TEXT(MOD(TIMEVALUE(M5)+11/1440,1),"HH:MM")</f>
        <v/>
      </c>
      <c r="N10" s="13">
        <f>TEXT(MOD(TIMEVALUE(N5)+11/1440,1),"HH:MM")</f>
        <v/>
      </c>
      <c r="O10" s="13">
        <f>TEXT(MOD(TIMEVALUE(O5)+11/1440,1),"HH:MM")</f>
        <v/>
      </c>
      <c r="P10" s="13">
        <f>TEXT(MOD(TIMEVALUE(P5)+11/1440,1),"HH:MM")</f>
        <v/>
      </c>
      <c r="Q10" s="13">
        <f>TEXT(MOD(TIMEVALUE(Q5)+11/1440,1),"HH:MM")</f>
        <v/>
      </c>
      <c r="R10" s="13">
        <f>TEXT(MOD(TIMEVALUE(R5)+11/1440,1),"HH:MM")</f>
        <v/>
      </c>
      <c r="S10" s="13">
        <f>TEXT(MOD(TIMEVALUE(S5)+11/1440,1),"HH:MM")</f>
        <v/>
      </c>
      <c r="T10" s="13">
        <f>TEXT(MOD(TIMEVALUE(T5)+11/1440,1),"HH:MM")</f>
        <v/>
      </c>
      <c r="U10" s="13">
        <f>TEXT(MOD(TIMEVALUE(U5)+11/1440,1),"HH:MM")</f>
        <v/>
      </c>
      <c r="V10" s="13">
        <f>TEXT(MOD(TIMEVALUE(V5)+11/1440,1),"HH:MM")</f>
        <v/>
      </c>
      <c r="W10" s="13">
        <f>TEXT(MOD(TIMEVALUE(W5)+11/1440,1),"HH:MM")</f>
        <v/>
      </c>
      <c r="X10" s="13">
        <f>TEXT(MOD(TIMEVALUE(X5)+11/1440,1),"HH:MM")</f>
        <v/>
      </c>
      <c r="Y10" s="13">
        <f>TEXT(MOD(TIMEVALUE(Y5)+11/1440,1),"HH:MM")</f>
        <v/>
      </c>
      <c r="Z10" s="13">
        <f>TEXT(MOD(TIMEVALUE(Z5)+11/1440,1),"HH:MM")</f>
        <v/>
      </c>
      <c r="AA10" s="13">
        <f>TEXT(MOD(TIMEVALUE(AA5)+11/1440,1),"HH:MM")</f>
        <v/>
      </c>
      <c r="AB10" s="13">
        <f>TEXT(MOD(TIMEVALUE(AB5)+11/1440,1),"HH:MM")</f>
        <v/>
      </c>
      <c r="AC10" s="13">
        <f>TEXT(MOD(TIMEVALUE(AC5)+11/1440,1),"HH:MM")</f>
        <v/>
      </c>
      <c r="AD10" s="13">
        <f>TEXT(MOD(TIMEVALUE(AD5)+11/1440,1),"HH:MM")</f>
        <v/>
      </c>
      <c r="AE10" s="13">
        <f>TEXT(MOD(TIMEVALUE(AE5)+11/1440,1),"HH:MM")</f>
        <v/>
      </c>
      <c r="AF10" s="13">
        <f>TEXT(MOD(TIMEVALUE(AF5)+11/1440,1),"HH:MM")</f>
        <v/>
      </c>
      <c r="AG10" s="13">
        <f>TEXT(MOD(TIMEVALUE(AG5)+11/1440,1),"HH:MM")</f>
        <v/>
      </c>
      <c r="AH10" s="13">
        <f>TEXT(MOD(TIMEVALUE(AH5)+11/1440,1),"HH:MM")</f>
        <v/>
      </c>
      <c r="AI10" s="13">
        <f>TEXT(MOD(TIMEVALUE(AI5)+11/1440,1),"HH:MM")</f>
        <v/>
      </c>
      <c r="AJ10" s="13">
        <f>TEXT(MOD(TIMEVALUE(AJ5)+11/1440,1),"HH:MM")</f>
        <v/>
      </c>
      <c r="AK10" s="13">
        <f>TEXT(MOD(TIMEVALUE(AK5)+11/1440,1),"HH:MM")</f>
        <v/>
      </c>
      <c r="AL10" s="13">
        <f>TEXT(MOD(TIMEVALUE(AL5)+11/1440,1),"HH:MM")</f>
        <v/>
      </c>
      <c r="AM10" s="13">
        <f>TEXT(MOD(TIMEVALUE(AM5)+11/1440,1),"HH:MM")</f>
        <v/>
      </c>
      <c r="AN10" s="13">
        <f>TEXT(MOD(TIMEVALUE(AN5)+11/1440,1),"HH:MM")</f>
        <v/>
      </c>
      <c r="AO10" s="13">
        <f>TEXT(MOD(TIMEVALUE(AO5)+11/1440,1),"HH:MM")</f>
        <v/>
      </c>
      <c r="AP10" s="13">
        <f>TEXT(MOD(TIMEVALUE(AP5)+11/1440,1),"HH:MM")</f>
        <v/>
      </c>
      <c r="AQ10" s="13">
        <f>TEXT(MOD(TIMEVALUE(AQ5)+11/1440,1),"HH:MM")</f>
        <v/>
      </c>
      <c r="AR10" s="13">
        <f>TEXT(MOD(TIMEVALUE(AR5)+11/1440,1),"HH:MM")</f>
        <v/>
      </c>
      <c r="AS10" s="13">
        <f>TEXT(MOD(TIMEVALUE(AS5)+11/1440,1),"HH:MM")</f>
        <v/>
      </c>
      <c r="AT10" s="13">
        <f>TEXT(MOD(TIMEVALUE(AT5)+11/1440,1),"HH:MM")</f>
        <v/>
      </c>
      <c r="AU10" s="13">
        <f>TEXT(MOD(TIMEVALUE(AU5)+11/1440,1),"HH:MM")</f>
        <v/>
      </c>
      <c r="AV10" s="13">
        <f>TEXT(MOD(TIMEVALUE(AV5)+11/1440,1),"HH:MM")</f>
        <v/>
      </c>
      <c r="AW10" s="13">
        <f>TEXT(MOD(TIMEVALUE(AW5)+11/1440,1),"HH:MM")</f>
        <v/>
      </c>
      <c r="AX10" s="13">
        <f>TEXT(MOD(TIMEVALUE(AX5)+11/1440,1),"HH:MM")</f>
        <v/>
      </c>
      <c r="AY10" s="13">
        <f>TEXT(MOD(TIMEVALUE(AY5)+11/1440,1),"HH:MM")</f>
        <v/>
      </c>
      <c r="AZ10" s="13">
        <f>TEXT(MOD(TIMEVALUE(AZ5)+11/1440,1),"HH:MM")</f>
        <v/>
      </c>
      <c r="BA10" s="13">
        <f>TEXT(MOD(TIMEVALUE(BA5)+11/1440,1),"HH:MM")</f>
        <v/>
      </c>
      <c r="BB10" s="13">
        <f>TEXT(MOD(TIMEVALUE(BB5)+11/1440,1),"HH:MM")</f>
        <v/>
      </c>
      <c r="BC10" s="13">
        <f>TEXT(MOD(TIMEVALUE(BC5)+11/1440,1),"HH:MM")</f>
        <v/>
      </c>
      <c r="BD10" s="13">
        <f>TEXT(MOD(TIMEVALUE(BD5)+11/1440,1),"HH:MM")</f>
        <v/>
      </c>
      <c r="BE10" s="13">
        <f>TEXT(MOD(TIMEVALUE(BE5)+11/1440,1),"HH:MM")</f>
        <v/>
      </c>
      <c r="BF10" s="13">
        <f>TEXT(MOD(TIMEVALUE(BF5)+11/1440,1),"HH:MM")</f>
        <v/>
      </c>
      <c r="BG10" s="13">
        <f>TEXT(MOD(TIMEVALUE(BG5)+11/1440,1),"HH:MM")</f>
        <v/>
      </c>
      <c r="BH10" s="13">
        <f>TEXT(MOD(TIMEVALUE(BH5)+11/1440,1),"HH:MM")</f>
        <v/>
      </c>
      <c r="BI10" s="13">
        <f>TEXT(MOD(TIMEVALUE(BI5)+11/1440,1),"HH:MM")</f>
        <v/>
      </c>
      <c r="BJ10" s="13">
        <f>TEXT(MOD(TIMEVALUE(BJ5)+11/1440,1),"HH:MM")</f>
        <v/>
      </c>
      <c r="BK10" s="13">
        <f>TEXT(MOD(TIMEVALUE(BK5)+11/1440,1),"HH:MM")</f>
        <v/>
      </c>
      <c r="BL10" s="13">
        <f>TEXT(MOD(TIMEVALUE(BL5)+11/1440,1),"HH:MM")</f>
        <v/>
      </c>
      <c r="BM10" s="13">
        <f>TEXT(MOD(TIMEVALUE(BM5)+11/1440,1),"HH:MM")</f>
        <v/>
      </c>
      <c r="BN10" s="13">
        <f>TEXT(MOD(TIMEVALUE(BN5)+11/1440,1),"HH:MM")</f>
        <v/>
      </c>
      <c r="BO10" s="13">
        <f>TEXT(MOD(TIMEVALUE(BO5)+11/1440,1),"HH:MM")</f>
        <v/>
      </c>
      <c r="BP10" s="13">
        <f>TEXT(MOD(TIMEVALUE(BP5)+11/1440,1),"HH:MM")</f>
        <v/>
      </c>
      <c r="BQ10" s="13">
        <f>TEXT(MOD(TIMEVALUE(BQ5)+11/1440,1),"HH:MM")</f>
        <v/>
      </c>
      <c r="BR10" s="13">
        <f>TEXT(MOD(TIMEVALUE(BR5)+11/1440,1),"HH:MM")</f>
        <v/>
      </c>
      <c r="BS10" s="13">
        <f>TEXT(MOD(TIMEVALUE(BS5)+11/1440,1),"HH:MM")</f>
        <v/>
      </c>
      <c r="BT10" s="13">
        <f>TEXT(MOD(TIMEVALUE(BT5)+11/1440,1),"HH:MM")</f>
        <v/>
      </c>
      <c r="BU10" s="13">
        <f>TEXT(MOD(TIMEVALUE(BU5)+11/1440,1),"HH:MM")</f>
        <v/>
      </c>
      <c r="BV10" s="13">
        <f>TEXT(MOD(TIMEVALUE(BV5)+11/1440,1),"HH:MM")</f>
        <v/>
      </c>
      <c r="BW10" s="13">
        <f>TEXT(MOD(TIMEVALUE(BW5)+11/1440,1),"HH:MM")</f>
        <v/>
      </c>
      <c r="BX10" s="13">
        <f>TEXT(MOD(TIMEVALUE(BX5)+11/1440,1),"HH:MM")</f>
        <v/>
      </c>
      <c r="BY10" s="13">
        <f>TEXT(MOD(TIMEVALUE(BY5)+11/1440,1),"HH:MM")</f>
        <v/>
      </c>
      <c r="BZ10" s="13">
        <f>TEXT(MOD(TIMEVALUE(BZ5)+11/1440,1),"HH:MM")</f>
        <v/>
      </c>
      <c r="CA10" s="13">
        <f>TEXT(MOD(TIMEVALUE(CA5)+11/1440,1),"HH:MM")</f>
        <v/>
      </c>
      <c r="CB10" s="13">
        <f>TEXT(MOD(TIMEVALUE(CB5)+11/1440,1),"HH:MM")</f>
        <v/>
      </c>
      <c r="CC10" s="13">
        <f>TEXT(MOD(TIMEVALUE(CC5)+11/1440,1),"HH:MM")</f>
        <v/>
      </c>
      <c r="CD10" s="13">
        <f>TEXT(MOD(TIMEVALUE(CD5)+11/1440,1),"HH:MM")</f>
        <v/>
      </c>
      <c r="CE10" s="13">
        <f>TEXT(MOD(TIMEVALUE(CE5)+11/1440,1),"HH:MM")</f>
        <v/>
      </c>
      <c r="CF10" s="13">
        <f>TEXT(MOD(TIMEVALUE(CF5)+11/1440,1),"HH:MM")</f>
        <v/>
      </c>
      <c r="CG10" s="13">
        <f>TEXT(MOD(TIMEVALUE(CG5)+11/1440,1),"HH:MM")</f>
        <v/>
      </c>
      <c r="CH10" s="13">
        <f>TEXT(MOD(TIMEVALUE(CH5)+11/1440,1),"HH:MM")</f>
        <v/>
      </c>
      <c r="CI10" s="13">
        <f>TEXT(MOD(TIMEVALUE(CI5)+11/1440,1),"HH:MM")</f>
        <v/>
      </c>
      <c r="CJ10" s="13">
        <f>TEXT(MOD(TIMEVALUE(CJ5)+11/1440,1),"HH:MM")</f>
        <v/>
      </c>
      <c r="CK10" s="13">
        <f>TEXT(MOD(TIMEVALUE(CK5)+11/1440,1),"HH:MM")</f>
        <v/>
      </c>
      <c r="CL10" s="13">
        <f>TEXT(MOD(TIMEVALUE(CL5)+11/1440,1),"HH:MM")</f>
        <v/>
      </c>
      <c r="CM10" s="13">
        <f>TEXT(MOD(TIMEVALUE(CM5)+11/1440,1),"HH:MM")</f>
        <v/>
      </c>
      <c r="CN10" s="13">
        <f>TEXT(MOD(TIMEVALUE(CN5)+11/1440,1),"HH:MM")</f>
        <v/>
      </c>
      <c r="CO10" s="13">
        <f>TEXT(MOD(TIMEVALUE(CO5)+11/1440,1),"HH:MM")</f>
        <v/>
      </c>
    </row>
    <row r="11" ht="16.5" customHeight="1" s="26">
      <c r="A11" s="23" t="inlineStr">
        <is>
          <t>Cnel. Fco. Lynch</t>
        </is>
      </c>
      <c r="B11" s="15">
        <f>TEXT(MOD(TIMEVALUE(B5)+13/1440,1),"HH:MM")</f>
        <v/>
      </c>
      <c r="C11" s="15">
        <f>TEXT(MOD(TIMEVALUE(C5)+13/1440,1),"HH:MM")</f>
        <v/>
      </c>
      <c r="D11" s="15">
        <f>TEXT(MOD(TIMEVALUE(D5)+13/1440,1),"HH:MM")</f>
        <v/>
      </c>
      <c r="E11" s="15">
        <f>TEXT(MOD(TIMEVALUE(E5)+13/1440,1),"HH:MM")</f>
        <v/>
      </c>
      <c r="F11" s="15">
        <f>TEXT(MOD(TIMEVALUE(F5)+13/1440,1),"HH:MM")</f>
        <v/>
      </c>
      <c r="G11" s="15">
        <f>TEXT(MOD(TIMEVALUE(G5)+13/1440,1),"HH:MM")</f>
        <v/>
      </c>
      <c r="H11" s="15">
        <f>TEXT(MOD(TIMEVALUE(H5)+13/1440,1),"HH:MM")</f>
        <v/>
      </c>
      <c r="I11" s="15">
        <f>TEXT(MOD(TIMEVALUE(I5)+13/1440,1),"HH:MM")</f>
        <v/>
      </c>
      <c r="J11" s="15">
        <f>TEXT(MOD(TIMEVALUE(J5)+13/1440,1),"HH:MM")</f>
        <v/>
      </c>
      <c r="K11" s="15">
        <f>TEXT(MOD(TIMEVALUE(K5)+13/1440,1),"HH:MM")</f>
        <v/>
      </c>
      <c r="L11" s="15">
        <f>TEXT(MOD(TIMEVALUE(L5)+13/1440,1),"HH:MM")</f>
        <v/>
      </c>
      <c r="M11" s="15">
        <f>TEXT(MOD(TIMEVALUE(M5)+13/1440,1),"HH:MM")</f>
        <v/>
      </c>
      <c r="N11" s="15">
        <f>TEXT(MOD(TIMEVALUE(N5)+13/1440,1),"HH:MM")</f>
        <v/>
      </c>
      <c r="O11" s="15">
        <f>TEXT(MOD(TIMEVALUE(O5)+13/1440,1),"HH:MM")</f>
        <v/>
      </c>
      <c r="P11" s="15">
        <f>TEXT(MOD(TIMEVALUE(P5)+13/1440,1),"HH:MM")</f>
        <v/>
      </c>
      <c r="Q11" s="15">
        <f>TEXT(MOD(TIMEVALUE(Q5)+13/1440,1),"HH:MM")</f>
        <v/>
      </c>
      <c r="R11" s="15">
        <f>TEXT(MOD(TIMEVALUE(R5)+13/1440,1),"HH:MM")</f>
        <v/>
      </c>
      <c r="S11" s="15">
        <f>TEXT(MOD(TIMEVALUE(S5)+13/1440,1),"HH:MM")</f>
        <v/>
      </c>
      <c r="T11" s="15">
        <f>TEXT(MOD(TIMEVALUE(T5)+13/1440,1),"HH:MM")</f>
        <v/>
      </c>
      <c r="U11" s="15">
        <f>TEXT(MOD(TIMEVALUE(U5)+13/1440,1),"HH:MM")</f>
        <v/>
      </c>
      <c r="V11" s="15">
        <f>TEXT(MOD(TIMEVALUE(V5)+13/1440,1),"HH:MM")</f>
        <v/>
      </c>
      <c r="W11" s="15">
        <f>TEXT(MOD(TIMEVALUE(W5)+13/1440,1),"HH:MM")</f>
        <v/>
      </c>
      <c r="X11" s="15">
        <f>TEXT(MOD(TIMEVALUE(X5)+13/1440,1),"HH:MM")</f>
        <v/>
      </c>
      <c r="Y11" s="15">
        <f>TEXT(MOD(TIMEVALUE(Y5)+13/1440,1),"HH:MM")</f>
        <v/>
      </c>
      <c r="Z11" s="15">
        <f>TEXT(MOD(TIMEVALUE(Z5)+13/1440,1),"HH:MM")</f>
        <v/>
      </c>
      <c r="AA11" s="15">
        <f>TEXT(MOD(TIMEVALUE(AA5)+13/1440,1),"HH:MM")</f>
        <v/>
      </c>
      <c r="AB11" s="15">
        <f>TEXT(MOD(TIMEVALUE(AB5)+13/1440,1),"HH:MM")</f>
        <v/>
      </c>
      <c r="AC11" s="15">
        <f>TEXT(MOD(TIMEVALUE(AC5)+13/1440,1),"HH:MM")</f>
        <v/>
      </c>
      <c r="AD11" s="15">
        <f>TEXT(MOD(TIMEVALUE(AD5)+13/1440,1),"HH:MM")</f>
        <v/>
      </c>
      <c r="AE11" s="15">
        <f>TEXT(MOD(TIMEVALUE(AE5)+13/1440,1),"HH:MM")</f>
        <v/>
      </c>
      <c r="AF11" s="15">
        <f>TEXT(MOD(TIMEVALUE(AF5)+13/1440,1),"HH:MM")</f>
        <v/>
      </c>
      <c r="AG11" s="15">
        <f>TEXT(MOD(TIMEVALUE(AG5)+13/1440,1),"HH:MM")</f>
        <v/>
      </c>
      <c r="AH11" s="15">
        <f>TEXT(MOD(TIMEVALUE(AH5)+13/1440,1),"HH:MM")</f>
        <v/>
      </c>
      <c r="AI11" s="15">
        <f>TEXT(MOD(TIMEVALUE(AI5)+13/1440,1),"HH:MM")</f>
        <v/>
      </c>
      <c r="AJ11" s="15">
        <f>TEXT(MOD(TIMEVALUE(AJ5)+13/1440,1),"HH:MM")</f>
        <v/>
      </c>
      <c r="AK11" s="15">
        <f>TEXT(MOD(TIMEVALUE(AK5)+13/1440,1),"HH:MM")</f>
        <v/>
      </c>
      <c r="AL11" s="15">
        <f>TEXT(MOD(TIMEVALUE(AL5)+13/1440,1),"HH:MM")</f>
        <v/>
      </c>
      <c r="AM11" s="15">
        <f>TEXT(MOD(TIMEVALUE(AM5)+13/1440,1),"HH:MM")</f>
        <v/>
      </c>
      <c r="AN11" s="15">
        <f>TEXT(MOD(TIMEVALUE(AN5)+13/1440,1),"HH:MM")</f>
        <v/>
      </c>
      <c r="AO11" s="15">
        <f>TEXT(MOD(TIMEVALUE(AO5)+13/1440,1),"HH:MM")</f>
        <v/>
      </c>
      <c r="AP11" s="15">
        <f>TEXT(MOD(TIMEVALUE(AP5)+13/1440,1),"HH:MM")</f>
        <v/>
      </c>
      <c r="AQ11" s="15">
        <f>TEXT(MOD(TIMEVALUE(AQ5)+13/1440,1),"HH:MM")</f>
        <v/>
      </c>
      <c r="AR11" s="15">
        <f>TEXT(MOD(TIMEVALUE(AR5)+13/1440,1),"HH:MM")</f>
        <v/>
      </c>
      <c r="AS11" s="15">
        <f>TEXT(MOD(TIMEVALUE(AS5)+13/1440,1),"HH:MM")</f>
        <v/>
      </c>
      <c r="AT11" s="15">
        <f>TEXT(MOD(TIMEVALUE(AT5)+13/1440,1),"HH:MM")</f>
        <v/>
      </c>
      <c r="AU11" s="15">
        <f>TEXT(MOD(TIMEVALUE(AU5)+13/1440,1),"HH:MM")</f>
        <v/>
      </c>
      <c r="AV11" s="15">
        <f>TEXT(MOD(TIMEVALUE(AV5)+13/1440,1),"HH:MM")</f>
        <v/>
      </c>
      <c r="AW11" s="15">
        <f>TEXT(MOD(TIMEVALUE(AW5)+13/1440,1),"HH:MM")</f>
        <v/>
      </c>
      <c r="AX11" s="15">
        <f>TEXT(MOD(TIMEVALUE(AX5)+13/1440,1),"HH:MM")</f>
        <v/>
      </c>
      <c r="AY11" s="15">
        <f>TEXT(MOD(TIMEVALUE(AY5)+13/1440,1),"HH:MM")</f>
        <v/>
      </c>
      <c r="AZ11" s="15">
        <f>TEXT(MOD(TIMEVALUE(AZ5)+13/1440,1),"HH:MM")</f>
        <v/>
      </c>
      <c r="BA11" s="15">
        <f>TEXT(MOD(TIMEVALUE(BA5)+13/1440,1),"HH:MM")</f>
        <v/>
      </c>
      <c r="BB11" s="15">
        <f>TEXT(MOD(TIMEVALUE(BB5)+13/1440,1),"HH:MM")</f>
        <v/>
      </c>
      <c r="BC11" s="15">
        <f>TEXT(MOD(TIMEVALUE(BC5)+13/1440,1),"HH:MM")</f>
        <v/>
      </c>
      <c r="BD11" s="15">
        <f>TEXT(MOD(TIMEVALUE(BD5)+13/1440,1),"HH:MM")</f>
        <v/>
      </c>
      <c r="BE11" s="15">
        <f>TEXT(MOD(TIMEVALUE(BE5)+13/1440,1),"HH:MM")</f>
        <v/>
      </c>
      <c r="BF11" s="15">
        <f>TEXT(MOD(TIMEVALUE(BF5)+13/1440,1),"HH:MM")</f>
        <v/>
      </c>
      <c r="BG11" s="15">
        <f>TEXT(MOD(TIMEVALUE(BG5)+13/1440,1),"HH:MM")</f>
        <v/>
      </c>
      <c r="BH11" s="15">
        <f>TEXT(MOD(TIMEVALUE(BH5)+13/1440,1),"HH:MM")</f>
        <v/>
      </c>
      <c r="BI11" s="15">
        <f>TEXT(MOD(TIMEVALUE(BI5)+13/1440,1),"HH:MM")</f>
        <v/>
      </c>
      <c r="BJ11" s="15">
        <f>TEXT(MOD(TIMEVALUE(BJ5)+13/1440,1),"HH:MM")</f>
        <v/>
      </c>
      <c r="BK11" s="15">
        <f>TEXT(MOD(TIMEVALUE(BK5)+13/1440,1),"HH:MM")</f>
        <v/>
      </c>
      <c r="BL11" s="15">
        <f>TEXT(MOD(TIMEVALUE(BL5)+13/1440,1),"HH:MM")</f>
        <v/>
      </c>
      <c r="BM11" s="15">
        <f>TEXT(MOD(TIMEVALUE(BM5)+13/1440,1),"HH:MM")</f>
        <v/>
      </c>
      <c r="BN11" s="15">
        <f>TEXT(MOD(TIMEVALUE(BN5)+13/1440,1),"HH:MM")</f>
        <v/>
      </c>
      <c r="BO11" s="15">
        <f>TEXT(MOD(TIMEVALUE(BO5)+13/1440,1),"HH:MM")</f>
        <v/>
      </c>
      <c r="BP11" s="15">
        <f>TEXT(MOD(TIMEVALUE(BP5)+13/1440,1),"HH:MM")</f>
        <v/>
      </c>
      <c r="BQ11" s="15">
        <f>TEXT(MOD(TIMEVALUE(BQ5)+13/1440,1),"HH:MM")</f>
        <v/>
      </c>
      <c r="BR11" s="15">
        <f>TEXT(MOD(TIMEVALUE(BR5)+13/1440,1),"HH:MM")</f>
        <v/>
      </c>
      <c r="BS11" s="15">
        <f>TEXT(MOD(TIMEVALUE(BS5)+13/1440,1),"HH:MM")</f>
        <v/>
      </c>
      <c r="BT11" s="15">
        <f>TEXT(MOD(TIMEVALUE(BT5)+13/1440,1),"HH:MM")</f>
        <v/>
      </c>
      <c r="BU11" s="15">
        <f>TEXT(MOD(TIMEVALUE(BU5)+13/1440,1),"HH:MM")</f>
        <v/>
      </c>
      <c r="BV11" s="15">
        <f>TEXT(MOD(TIMEVALUE(BV5)+13/1440,1),"HH:MM")</f>
        <v/>
      </c>
      <c r="BW11" s="15">
        <f>TEXT(MOD(TIMEVALUE(BW5)+13/1440,1),"HH:MM")</f>
        <v/>
      </c>
      <c r="BX11" s="15">
        <f>TEXT(MOD(TIMEVALUE(BX5)+13/1440,1),"HH:MM")</f>
        <v/>
      </c>
      <c r="BY11" s="15">
        <f>TEXT(MOD(TIMEVALUE(BY5)+13/1440,1),"HH:MM")</f>
        <v/>
      </c>
      <c r="BZ11" s="15">
        <f>TEXT(MOD(TIMEVALUE(BZ5)+13/1440,1),"HH:MM")</f>
        <v/>
      </c>
      <c r="CA11" s="15">
        <f>TEXT(MOD(TIMEVALUE(CA5)+13/1440,1),"HH:MM")</f>
        <v/>
      </c>
      <c r="CB11" s="15">
        <f>TEXT(MOD(TIMEVALUE(CB5)+13/1440,1),"HH:MM")</f>
        <v/>
      </c>
      <c r="CC11" s="15">
        <f>TEXT(MOD(TIMEVALUE(CC5)+13/1440,1),"HH:MM")</f>
        <v/>
      </c>
      <c r="CD11" s="15">
        <f>TEXT(MOD(TIMEVALUE(CD5)+13/1440,1),"HH:MM")</f>
        <v/>
      </c>
      <c r="CE11" s="15">
        <f>TEXT(MOD(TIMEVALUE(CE5)+13/1440,1),"HH:MM")</f>
        <v/>
      </c>
      <c r="CF11" s="15">
        <f>TEXT(MOD(TIMEVALUE(CF5)+13/1440,1),"HH:MM")</f>
        <v/>
      </c>
      <c r="CG11" s="15">
        <f>TEXT(MOD(TIMEVALUE(CG5)+13/1440,1),"HH:MM")</f>
        <v/>
      </c>
      <c r="CH11" s="15">
        <f>TEXT(MOD(TIMEVALUE(CH5)+13/1440,1),"HH:MM")</f>
        <v/>
      </c>
      <c r="CI11" s="15">
        <f>TEXT(MOD(TIMEVALUE(CI5)+13/1440,1),"HH:MM")</f>
        <v/>
      </c>
      <c r="CJ11" s="15">
        <f>TEXT(MOD(TIMEVALUE(CJ5)+13/1440,1),"HH:MM")</f>
        <v/>
      </c>
      <c r="CK11" s="15">
        <f>TEXT(MOD(TIMEVALUE(CK5)+13/1440,1),"HH:MM")</f>
        <v/>
      </c>
      <c r="CL11" s="15">
        <f>TEXT(MOD(TIMEVALUE(CL5)+13/1440,1),"HH:MM")</f>
        <v/>
      </c>
      <c r="CM11" s="15">
        <f>TEXT(MOD(TIMEVALUE(CM5)+13/1440,1),"HH:MM")</f>
        <v/>
      </c>
      <c r="CN11" s="15">
        <f>TEXT(MOD(TIMEVALUE(CN5)+13/1440,1),"HH:MM")</f>
        <v/>
      </c>
      <c r="CO11" s="15">
        <f>TEXT(MOD(TIMEVALUE(CO5)+13/1440,1),"HH:MM")</f>
        <v/>
      </c>
    </row>
    <row r="12" ht="16.5" customHeight="1" s="26">
      <c r="A12" s="22" t="inlineStr">
        <is>
          <t>Fernández Moreno</t>
        </is>
      </c>
      <c r="B12" s="13">
        <f>TEXT(MOD(TIMEVALUE(B5)+15/1440,1),"HH:MM")</f>
        <v/>
      </c>
      <c r="C12" s="13">
        <f>TEXT(MOD(TIMEVALUE(C5)+15/1440,1),"HH:MM")</f>
        <v/>
      </c>
      <c r="D12" s="13">
        <f>TEXT(MOD(TIMEVALUE(D5)+15/1440,1),"HH:MM")</f>
        <v/>
      </c>
      <c r="E12" s="13">
        <f>TEXT(MOD(TIMEVALUE(E5)+15/1440,1),"HH:MM")</f>
        <v/>
      </c>
      <c r="F12" s="13">
        <f>TEXT(MOD(TIMEVALUE(F5)+15/1440,1),"HH:MM")</f>
        <v/>
      </c>
      <c r="G12" s="13">
        <f>TEXT(MOD(TIMEVALUE(G5)+15/1440,1),"HH:MM")</f>
        <v/>
      </c>
      <c r="H12" s="13">
        <f>TEXT(MOD(TIMEVALUE(H5)+15/1440,1),"HH:MM")</f>
        <v/>
      </c>
      <c r="I12" s="13">
        <f>TEXT(MOD(TIMEVALUE(I5)+15/1440,1),"HH:MM")</f>
        <v/>
      </c>
      <c r="J12" s="13">
        <f>TEXT(MOD(TIMEVALUE(J5)+15/1440,1),"HH:MM")</f>
        <v/>
      </c>
      <c r="K12" s="13">
        <f>TEXT(MOD(TIMEVALUE(K5)+15/1440,1),"HH:MM")</f>
        <v/>
      </c>
      <c r="L12" s="13">
        <f>TEXT(MOD(TIMEVALUE(L5)+15/1440,1),"HH:MM")</f>
        <v/>
      </c>
      <c r="M12" s="13">
        <f>TEXT(MOD(TIMEVALUE(M5)+15/1440,1),"HH:MM")</f>
        <v/>
      </c>
      <c r="N12" s="13">
        <f>TEXT(MOD(TIMEVALUE(N5)+15/1440,1),"HH:MM")</f>
        <v/>
      </c>
      <c r="O12" s="13">
        <f>TEXT(MOD(TIMEVALUE(O5)+15/1440,1),"HH:MM")</f>
        <v/>
      </c>
      <c r="P12" s="13">
        <f>TEXT(MOD(TIMEVALUE(P5)+15/1440,1),"HH:MM")</f>
        <v/>
      </c>
      <c r="Q12" s="13">
        <f>TEXT(MOD(TIMEVALUE(Q5)+15/1440,1),"HH:MM")</f>
        <v/>
      </c>
      <c r="R12" s="13">
        <f>TEXT(MOD(TIMEVALUE(R5)+15/1440,1),"HH:MM")</f>
        <v/>
      </c>
      <c r="S12" s="13">
        <f>TEXT(MOD(TIMEVALUE(S5)+15/1440,1),"HH:MM")</f>
        <v/>
      </c>
      <c r="T12" s="13">
        <f>TEXT(MOD(TIMEVALUE(T5)+15/1440,1),"HH:MM")</f>
        <v/>
      </c>
      <c r="U12" s="13">
        <f>TEXT(MOD(TIMEVALUE(U5)+15/1440,1),"HH:MM")</f>
        <v/>
      </c>
      <c r="V12" s="13">
        <f>TEXT(MOD(TIMEVALUE(V5)+15/1440,1),"HH:MM")</f>
        <v/>
      </c>
      <c r="W12" s="13">
        <f>TEXT(MOD(TIMEVALUE(W5)+15/1440,1),"HH:MM")</f>
        <v/>
      </c>
      <c r="X12" s="13">
        <f>TEXT(MOD(TIMEVALUE(X5)+15/1440,1),"HH:MM")</f>
        <v/>
      </c>
      <c r="Y12" s="13">
        <f>TEXT(MOD(TIMEVALUE(Y5)+15/1440,1),"HH:MM")</f>
        <v/>
      </c>
      <c r="Z12" s="13">
        <f>TEXT(MOD(TIMEVALUE(Z5)+15/1440,1),"HH:MM")</f>
        <v/>
      </c>
      <c r="AA12" s="13">
        <f>TEXT(MOD(TIMEVALUE(AA5)+15/1440,1),"HH:MM")</f>
        <v/>
      </c>
      <c r="AB12" s="13">
        <f>TEXT(MOD(TIMEVALUE(AB5)+15/1440,1),"HH:MM")</f>
        <v/>
      </c>
      <c r="AC12" s="13">
        <f>TEXT(MOD(TIMEVALUE(AC5)+15/1440,1),"HH:MM")</f>
        <v/>
      </c>
      <c r="AD12" s="13">
        <f>TEXT(MOD(TIMEVALUE(AD5)+15/1440,1),"HH:MM")</f>
        <v/>
      </c>
      <c r="AE12" s="13">
        <f>TEXT(MOD(TIMEVALUE(AE5)+15/1440,1),"HH:MM")</f>
        <v/>
      </c>
      <c r="AF12" s="13">
        <f>TEXT(MOD(TIMEVALUE(AF5)+15/1440,1),"HH:MM")</f>
        <v/>
      </c>
      <c r="AG12" s="13">
        <f>TEXT(MOD(TIMEVALUE(AG5)+15/1440,1),"HH:MM")</f>
        <v/>
      </c>
      <c r="AH12" s="13">
        <f>TEXT(MOD(TIMEVALUE(AH5)+15/1440,1),"HH:MM")</f>
        <v/>
      </c>
      <c r="AI12" s="13">
        <f>TEXT(MOD(TIMEVALUE(AI5)+15/1440,1),"HH:MM")</f>
        <v/>
      </c>
      <c r="AJ12" s="13">
        <f>TEXT(MOD(TIMEVALUE(AJ5)+15/1440,1),"HH:MM")</f>
        <v/>
      </c>
      <c r="AK12" s="13">
        <f>TEXT(MOD(TIMEVALUE(AK5)+15/1440,1),"HH:MM")</f>
        <v/>
      </c>
      <c r="AL12" s="13">
        <f>TEXT(MOD(TIMEVALUE(AL5)+15/1440,1),"HH:MM")</f>
        <v/>
      </c>
      <c r="AM12" s="13">
        <f>TEXT(MOD(TIMEVALUE(AM5)+15/1440,1),"HH:MM")</f>
        <v/>
      </c>
      <c r="AN12" s="13">
        <f>TEXT(MOD(TIMEVALUE(AN5)+15/1440,1),"HH:MM")</f>
        <v/>
      </c>
      <c r="AO12" s="13">
        <f>TEXT(MOD(TIMEVALUE(AO5)+15/1440,1),"HH:MM")</f>
        <v/>
      </c>
      <c r="AP12" s="13">
        <f>TEXT(MOD(TIMEVALUE(AP5)+15/1440,1),"HH:MM")</f>
        <v/>
      </c>
      <c r="AQ12" s="13">
        <f>TEXT(MOD(TIMEVALUE(AQ5)+15/1440,1),"HH:MM")</f>
        <v/>
      </c>
      <c r="AR12" s="13">
        <f>TEXT(MOD(TIMEVALUE(AR5)+15/1440,1),"HH:MM")</f>
        <v/>
      </c>
      <c r="AS12" s="13">
        <f>TEXT(MOD(TIMEVALUE(AS5)+15/1440,1),"HH:MM")</f>
        <v/>
      </c>
      <c r="AT12" s="13">
        <f>TEXT(MOD(TIMEVALUE(AT5)+15/1440,1),"HH:MM")</f>
        <v/>
      </c>
      <c r="AU12" s="13">
        <f>TEXT(MOD(TIMEVALUE(AU5)+15/1440,1),"HH:MM")</f>
        <v/>
      </c>
      <c r="AV12" s="13">
        <f>TEXT(MOD(TIMEVALUE(AV5)+15/1440,1),"HH:MM")</f>
        <v/>
      </c>
      <c r="AW12" s="13">
        <f>TEXT(MOD(TIMEVALUE(AW5)+15/1440,1),"HH:MM")</f>
        <v/>
      </c>
      <c r="AX12" s="13">
        <f>TEXT(MOD(TIMEVALUE(AX5)+15/1440,1),"HH:MM")</f>
        <v/>
      </c>
      <c r="AY12" s="13">
        <f>TEXT(MOD(TIMEVALUE(AY5)+15/1440,1),"HH:MM")</f>
        <v/>
      </c>
      <c r="AZ12" s="13">
        <f>TEXT(MOD(TIMEVALUE(AZ5)+15/1440,1),"HH:MM")</f>
        <v/>
      </c>
      <c r="BA12" s="13">
        <f>TEXT(MOD(TIMEVALUE(BA5)+15/1440,1),"HH:MM")</f>
        <v/>
      </c>
      <c r="BB12" s="13">
        <f>TEXT(MOD(TIMEVALUE(BB5)+15/1440,1),"HH:MM")</f>
        <v/>
      </c>
      <c r="BC12" s="13">
        <f>TEXT(MOD(TIMEVALUE(BC5)+15/1440,1),"HH:MM")</f>
        <v/>
      </c>
      <c r="BD12" s="13">
        <f>TEXT(MOD(TIMEVALUE(BD5)+15/1440,1),"HH:MM")</f>
        <v/>
      </c>
      <c r="BE12" s="13">
        <f>TEXT(MOD(TIMEVALUE(BE5)+15/1440,1),"HH:MM")</f>
        <v/>
      </c>
      <c r="BF12" s="13">
        <f>TEXT(MOD(TIMEVALUE(BF5)+15/1440,1),"HH:MM")</f>
        <v/>
      </c>
      <c r="BG12" s="13">
        <f>TEXT(MOD(TIMEVALUE(BG5)+15/1440,1),"HH:MM")</f>
        <v/>
      </c>
      <c r="BH12" s="13">
        <f>TEXT(MOD(TIMEVALUE(BH5)+15/1440,1),"HH:MM")</f>
        <v/>
      </c>
      <c r="BI12" s="13">
        <f>TEXT(MOD(TIMEVALUE(BI5)+15/1440,1),"HH:MM")</f>
        <v/>
      </c>
      <c r="BJ12" s="13">
        <f>TEXT(MOD(TIMEVALUE(BJ5)+15/1440,1),"HH:MM")</f>
        <v/>
      </c>
      <c r="BK12" s="13">
        <f>TEXT(MOD(TIMEVALUE(BK5)+15/1440,1),"HH:MM")</f>
        <v/>
      </c>
      <c r="BL12" s="13">
        <f>TEXT(MOD(TIMEVALUE(BL5)+15/1440,1),"HH:MM")</f>
        <v/>
      </c>
      <c r="BM12" s="13">
        <f>TEXT(MOD(TIMEVALUE(BM5)+15/1440,1),"HH:MM")</f>
        <v/>
      </c>
      <c r="BN12" s="13">
        <f>TEXT(MOD(TIMEVALUE(BN5)+15/1440,1),"HH:MM")</f>
        <v/>
      </c>
      <c r="BO12" s="13">
        <f>TEXT(MOD(TIMEVALUE(BO5)+15/1440,1),"HH:MM")</f>
        <v/>
      </c>
      <c r="BP12" s="13">
        <f>TEXT(MOD(TIMEVALUE(BP5)+15/1440,1),"HH:MM")</f>
        <v/>
      </c>
      <c r="BQ12" s="13">
        <f>TEXT(MOD(TIMEVALUE(BQ5)+15/1440,1),"HH:MM")</f>
        <v/>
      </c>
      <c r="BR12" s="13">
        <f>TEXT(MOD(TIMEVALUE(BR5)+15/1440,1),"HH:MM")</f>
        <v/>
      </c>
      <c r="BS12" s="13">
        <f>TEXT(MOD(TIMEVALUE(BS5)+15/1440,1),"HH:MM")</f>
        <v/>
      </c>
      <c r="BT12" s="13">
        <f>TEXT(MOD(TIMEVALUE(BT5)+15/1440,1),"HH:MM")</f>
        <v/>
      </c>
      <c r="BU12" s="13">
        <f>TEXT(MOD(TIMEVALUE(BU5)+15/1440,1),"HH:MM")</f>
        <v/>
      </c>
      <c r="BV12" s="13">
        <f>TEXT(MOD(TIMEVALUE(BV5)+15/1440,1),"HH:MM")</f>
        <v/>
      </c>
      <c r="BW12" s="13">
        <f>TEXT(MOD(TIMEVALUE(BW5)+15/1440,1),"HH:MM")</f>
        <v/>
      </c>
      <c r="BX12" s="13">
        <f>TEXT(MOD(TIMEVALUE(BX5)+15/1440,1),"HH:MM")</f>
        <v/>
      </c>
      <c r="BY12" s="13">
        <f>TEXT(MOD(TIMEVALUE(BY5)+15/1440,1),"HH:MM")</f>
        <v/>
      </c>
      <c r="BZ12" s="13">
        <f>TEXT(MOD(TIMEVALUE(BZ5)+15/1440,1),"HH:MM")</f>
        <v/>
      </c>
      <c r="CA12" s="13">
        <f>TEXT(MOD(TIMEVALUE(CA5)+15/1440,1),"HH:MM")</f>
        <v/>
      </c>
      <c r="CB12" s="13">
        <f>TEXT(MOD(TIMEVALUE(CB5)+15/1440,1),"HH:MM")</f>
        <v/>
      </c>
      <c r="CC12" s="13">
        <f>TEXT(MOD(TIMEVALUE(CC5)+15/1440,1),"HH:MM")</f>
        <v/>
      </c>
      <c r="CD12" s="13">
        <f>TEXT(MOD(TIMEVALUE(CD5)+15/1440,1),"HH:MM")</f>
        <v/>
      </c>
      <c r="CE12" s="13">
        <f>TEXT(MOD(TIMEVALUE(CE5)+15/1440,1),"HH:MM")</f>
        <v/>
      </c>
      <c r="CF12" s="13">
        <f>TEXT(MOD(TIMEVALUE(CF5)+15/1440,1),"HH:MM")</f>
        <v/>
      </c>
      <c r="CG12" s="13">
        <f>TEXT(MOD(TIMEVALUE(CG5)+15/1440,1),"HH:MM")</f>
        <v/>
      </c>
      <c r="CH12" s="13">
        <f>TEXT(MOD(TIMEVALUE(CH5)+15/1440,1),"HH:MM")</f>
        <v/>
      </c>
      <c r="CI12" s="13">
        <f>TEXT(MOD(TIMEVALUE(CI5)+15/1440,1),"HH:MM")</f>
        <v/>
      </c>
      <c r="CJ12" s="13">
        <f>TEXT(MOD(TIMEVALUE(CJ5)+15/1440,1),"HH:MM")</f>
        <v/>
      </c>
      <c r="CK12" s="13">
        <f>TEXT(MOD(TIMEVALUE(CK5)+15/1440,1),"HH:MM")</f>
        <v/>
      </c>
      <c r="CL12" s="13">
        <f>TEXT(MOD(TIMEVALUE(CL5)+15/1440,1),"HH:MM")</f>
        <v/>
      </c>
      <c r="CM12" s="13">
        <f>TEXT(MOD(TIMEVALUE(CM5)+15/1440,1),"HH:MM")</f>
        <v/>
      </c>
      <c r="CN12" s="13">
        <f>TEXT(MOD(TIMEVALUE(CN5)+15/1440,1),"HH:MM")</f>
        <v/>
      </c>
      <c r="CO12" s="13">
        <f>TEXT(MOD(TIMEVALUE(CO5)+15/1440,1),"HH:MM")</f>
        <v/>
      </c>
    </row>
    <row r="13" ht="16.5" customHeight="1" s="26">
      <c r="A13" s="23" t="inlineStr">
        <is>
          <t>Lourdes</t>
        </is>
      </c>
      <c r="B13" s="15">
        <f>TEXT(MOD(TIMEVALUE(B5)+17/1440,1),"HH:MM")</f>
        <v/>
      </c>
      <c r="C13" s="15">
        <f>TEXT(MOD(TIMEVALUE(C5)+17/1440,1),"HH:MM")</f>
        <v/>
      </c>
      <c r="D13" s="15">
        <f>TEXT(MOD(TIMEVALUE(D5)+17/1440,1),"HH:MM")</f>
        <v/>
      </c>
      <c r="E13" s="15">
        <f>TEXT(MOD(TIMEVALUE(E5)+17/1440,1),"HH:MM")</f>
        <v/>
      </c>
      <c r="F13" s="15">
        <f>TEXT(MOD(TIMEVALUE(F5)+17/1440,1),"HH:MM")</f>
        <v/>
      </c>
      <c r="G13" s="15">
        <f>TEXT(MOD(TIMEVALUE(G5)+17/1440,1),"HH:MM")</f>
        <v/>
      </c>
      <c r="H13" s="15">
        <f>TEXT(MOD(TIMEVALUE(H5)+17/1440,1),"HH:MM")</f>
        <v/>
      </c>
      <c r="I13" s="15">
        <f>TEXT(MOD(TIMEVALUE(I5)+17/1440,1),"HH:MM")</f>
        <v/>
      </c>
      <c r="J13" s="15">
        <f>TEXT(MOD(TIMEVALUE(J5)+17/1440,1),"HH:MM")</f>
        <v/>
      </c>
      <c r="K13" s="15">
        <f>TEXT(MOD(TIMEVALUE(K5)+17/1440,1),"HH:MM")</f>
        <v/>
      </c>
      <c r="L13" s="15">
        <f>TEXT(MOD(TIMEVALUE(L5)+17/1440,1),"HH:MM")</f>
        <v/>
      </c>
      <c r="M13" s="15">
        <f>TEXT(MOD(TIMEVALUE(M5)+17/1440,1),"HH:MM")</f>
        <v/>
      </c>
      <c r="N13" s="15">
        <f>TEXT(MOD(TIMEVALUE(N5)+17/1440,1),"HH:MM")</f>
        <v/>
      </c>
      <c r="O13" s="15">
        <f>TEXT(MOD(TIMEVALUE(O5)+17/1440,1),"HH:MM")</f>
        <v/>
      </c>
      <c r="P13" s="15">
        <f>TEXT(MOD(TIMEVALUE(P5)+17/1440,1),"HH:MM")</f>
        <v/>
      </c>
      <c r="Q13" s="15">
        <f>TEXT(MOD(TIMEVALUE(Q5)+17/1440,1),"HH:MM")</f>
        <v/>
      </c>
      <c r="R13" s="15">
        <f>TEXT(MOD(TIMEVALUE(R5)+17/1440,1),"HH:MM")</f>
        <v/>
      </c>
      <c r="S13" s="15">
        <f>TEXT(MOD(TIMEVALUE(S5)+17/1440,1),"HH:MM")</f>
        <v/>
      </c>
      <c r="T13" s="15">
        <f>TEXT(MOD(TIMEVALUE(T5)+17/1440,1),"HH:MM")</f>
        <v/>
      </c>
      <c r="U13" s="15">
        <f>TEXT(MOD(TIMEVALUE(U5)+17/1440,1),"HH:MM")</f>
        <v/>
      </c>
      <c r="V13" s="15">
        <f>TEXT(MOD(TIMEVALUE(V5)+17/1440,1),"HH:MM")</f>
        <v/>
      </c>
      <c r="W13" s="15">
        <f>TEXT(MOD(TIMEVALUE(W5)+17/1440,1),"HH:MM")</f>
        <v/>
      </c>
      <c r="X13" s="15">
        <f>TEXT(MOD(TIMEVALUE(X5)+17/1440,1),"HH:MM")</f>
        <v/>
      </c>
      <c r="Y13" s="15">
        <f>TEXT(MOD(TIMEVALUE(Y5)+17/1440,1),"HH:MM")</f>
        <v/>
      </c>
      <c r="Z13" s="15">
        <f>TEXT(MOD(TIMEVALUE(Z5)+17/1440,1),"HH:MM")</f>
        <v/>
      </c>
      <c r="AA13" s="15">
        <f>TEXT(MOD(TIMEVALUE(AA5)+17/1440,1),"HH:MM")</f>
        <v/>
      </c>
      <c r="AB13" s="15">
        <f>TEXT(MOD(TIMEVALUE(AB5)+17/1440,1),"HH:MM")</f>
        <v/>
      </c>
      <c r="AC13" s="15">
        <f>TEXT(MOD(TIMEVALUE(AC5)+17/1440,1),"HH:MM")</f>
        <v/>
      </c>
      <c r="AD13" s="15">
        <f>TEXT(MOD(TIMEVALUE(AD5)+17/1440,1),"HH:MM")</f>
        <v/>
      </c>
      <c r="AE13" s="15">
        <f>TEXT(MOD(TIMEVALUE(AE5)+17/1440,1),"HH:MM")</f>
        <v/>
      </c>
      <c r="AF13" s="15">
        <f>TEXT(MOD(TIMEVALUE(AF5)+17/1440,1),"HH:MM")</f>
        <v/>
      </c>
      <c r="AG13" s="15">
        <f>TEXT(MOD(TIMEVALUE(AG5)+17/1440,1),"HH:MM")</f>
        <v/>
      </c>
      <c r="AH13" s="15">
        <f>TEXT(MOD(TIMEVALUE(AH5)+17/1440,1),"HH:MM")</f>
        <v/>
      </c>
      <c r="AI13" s="15">
        <f>TEXT(MOD(TIMEVALUE(AI5)+17/1440,1),"HH:MM")</f>
        <v/>
      </c>
      <c r="AJ13" s="15">
        <f>TEXT(MOD(TIMEVALUE(AJ5)+17/1440,1),"HH:MM")</f>
        <v/>
      </c>
      <c r="AK13" s="15">
        <f>TEXT(MOD(TIMEVALUE(AK5)+17/1440,1),"HH:MM")</f>
        <v/>
      </c>
      <c r="AL13" s="15">
        <f>TEXT(MOD(TIMEVALUE(AL5)+17/1440,1),"HH:MM")</f>
        <v/>
      </c>
      <c r="AM13" s="15">
        <f>TEXT(MOD(TIMEVALUE(AM5)+17/1440,1),"HH:MM")</f>
        <v/>
      </c>
      <c r="AN13" s="15">
        <f>TEXT(MOD(TIMEVALUE(AN5)+17/1440,1),"HH:MM")</f>
        <v/>
      </c>
      <c r="AO13" s="15">
        <f>TEXT(MOD(TIMEVALUE(AO5)+17/1440,1),"HH:MM")</f>
        <v/>
      </c>
      <c r="AP13" s="15">
        <f>TEXT(MOD(TIMEVALUE(AP5)+17/1440,1),"HH:MM")</f>
        <v/>
      </c>
      <c r="AQ13" s="15">
        <f>TEXT(MOD(TIMEVALUE(AQ5)+17/1440,1),"HH:MM")</f>
        <v/>
      </c>
      <c r="AR13" s="15">
        <f>TEXT(MOD(TIMEVALUE(AR5)+17/1440,1),"HH:MM")</f>
        <v/>
      </c>
      <c r="AS13" s="15">
        <f>TEXT(MOD(TIMEVALUE(AS5)+17/1440,1),"HH:MM")</f>
        <v/>
      </c>
      <c r="AT13" s="15">
        <f>TEXT(MOD(TIMEVALUE(AT5)+17/1440,1),"HH:MM")</f>
        <v/>
      </c>
      <c r="AU13" s="15">
        <f>TEXT(MOD(TIMEVALUE(AU5)+17/1440,1),"HH:MM")</f>
        <v/>
      </c>
      <c r="AV13" s="15">
        <f>TEXT(MOD(TIMEVALUE(AV5)+17/1440,1),"HH:MM")</f>
        <v/>
      </c>
      <c r="AW13" s="15">
        <f>TEXT(MOD(TIMEVALUE(AW5)+17/1440,1),"HH:MM")</f>
        <v/>
      </c>
      <c r="AX13" s="15">
        <f>TEXT(MOD(TIMEVALUE(AX5)+17/1440,1),"HH:MM")</f>
        <v/>
      </c>
      <c r="AY13" s="15">
        <f>TEXT(MOD(TIMEVALUE(AY5)+17/1440,1),"HH:MM")</f>
        <v/>
      </c>
      <c r="AZ13" s="15">
        <f>TEXT(MOD(TIMEVALUE(AZ5)+17/1440,1),"HH:MM")</f>
        <v/>
      </c>
      <c r="BA13" s="15">
        <f>TEXT(MOD(TIMEVALUE(BA5)+17/1440,1),"HH:MM")</f>
        <v/>
      </c>
      <c r="BB13" s="15">
        <f>TEXT(MOD(TIMEVALUE(BB5)+17/1440,1),"HH:MM")</f>
        <v/>
      </c>
      <c r="BC13" s="15">
        <f>TEXT(MOD(TIMEVALUE(BC5)+17/1440,1),"HH:MM")</f>
        <v/>
      </c>
      <c r="BD13" s="15">
        <f>TEXT(MOD(TIMEVALUE(BD5)+17/1440,1),"HH:MM")</f>
        <v/>
      </c>
      <c r="BE13" s="15">
        <f>TEXT(MOD(TIMEVALUE(BE5)+17/1440,1),"HH:MM")</f>
        <v/>
      </c>
      <c r="BF13" s="15">
        <f>TEXT(MOD(TIMEVALUE(BF5)+17/1440,1),"HH:MM")</f>
        <v/>
      </c>
      <c r="BG13" s="15">
        <f>TEXT(MOD(TIMEVALUE(BG5)+17/1440,1),"HH:MM")</f>
        <v/>
      </c>
      <c r="BH13" s="15">
        <f>TEXT(MOD(TIMEVALUE(BH5)+17/1440,1),"HH:MM")</f>
        <v/>
      </c>
      <c r="BI13" s="15">
        <f>TEXT(MOD(TIMEVALUE(BI5)+17/1440,1),"HH:MM")</f>
        <v/>
      </c>
      <c r="BJ13" s="15">
        <f>TEXT(MOD(TIMEVALUE(BJ5)+17/1440,1),"HH:MM")</f>
        <v/>
      </c>
      <c r="BK13" s="15">
        <f>TEXT(MOD(TIMEVALUE(BK5)+17/1440,1),"HH:MM")</f>
        <v/>
      </c>
      <c r="BL13" s="15">
        <f>TEXT(MOD(TIMEVALUE(BL5)+17/1440,1),"HH:MM")</f>
        <v/>
      </c>
      <c r="BM13" s="15">
        <f>TEXT(MOD(TIMEVALUE(BM5)+17/1440,1),"HH:MM")</f>
        <v/>
      </c>
      <c r="BN13" s="15">
        <f>TEXT(MOD(TIMEVALUE(BN5)+17/1440,1),"HH:MM")</f>
        <v/>
      </c>
      <c r="BO13" s="15">
        <f>TEXT(MOD(TIMEVALUE(BO5)+17/1440,1),"HH:MM")</f>
        <v/>
      </c>
      <c r="BP13" s="15">
        <f>TEXT(MOD(TIMEVALUE(BP5)+17/1440,1),"HH:MM")</f>
        <v/>
      </c>
      <c r="BQ13" s="15">
        <f>TEXT(MOD(TIMEVALUE(BQ5)+17/1440,1),"HH:MM")</f>
        <v/>
      </c>
      <c r="BR13" s="15">
        <f>TEXT(MOD(TIMEVALUE(BR5)+17/1440,1),"HH:MM")</f>
        <v/>
      </c>
      <c r="BS13" s="15">
        <f>TEXT(MOD(TIMEVALUE(BS5)+17/1440,1),"HH:MM")</f>
        <v/>
      </c>
      <c r="BT13" s="15">
        <f>TEXT(MOD(TIMEVALUE(BT5)+17/1440,1),"HH:MM")</f>
        <v/>
      </c>
      <c r="BU13" s="15">
        <f>TEXT(MOD(TIMEVALUE(BU5)+17/1440,1),"HH:MM")</f>
        <v/>
      </c>
      <c r="BV13" s="15">
        <f>TEXT(MOD(TIMEVALUE(BV5)+17/1440,1),"HH:MM")</f>
        <v/>
      </c>
      <c r="BW13" s="15">
        <f>TEXT(MOD(TIMEVALUE(BW5)+17/1440,1),"HH:MM")</f>
        <v/>
      </c>
      <c r="BX13" s="15">
        <f>TEXT(MOD(TIMEVALUE(BX5)+17/1440,1),"HH:MM")</f>
        <v/>
      </c>
      <c r="BY13" s="15">
        <f>TEXT(MOD(TIMEVALUE(BY5)+17/1440,1),"HH:MM")</f>
        <v/>
      </c>
      <c r="BZ13" s="15">
        <f>TEXT(MOD(TIMEVALUE(BZ5)+17/1440,1),"HH:MM")</f>
        <v/>
      </c>
      <c r="CA13" s="15">
        <f>TEXT(MOD(TIMEVALUE(CA5)+17/1440,1),"HH:MM")</f>
        <v/>
      </c>
      <c r="CB13" s="15">
        <f>TEXT(MOD(TIMEVALUE(CB5)+17/1440,1),"HH:MM")</f>
        <v/>
      </c>
      <c r="CC13" s="15">
        <f>TEXT(MOD(TIMEVALUE(CC5)+17/1440,1),"HH:MM")</f>
        <v/>
      </c>
      <c r="CD13" s="15">
        <f>TEXT(MOD(TIMEVALUE(CD5)+17/1440,1),"HH:MM")</f>
        <v/>
      </c>
      <c r="CE13" s="15">
        <f>TEXT(MOD(TIMEVALUE(CE5)+17/1440,1),"HH:MM")</f>
        <v/>
      </c>
      <c r="CF13" s="15">
        <f>TEXT(MOD(TIMEVALUE(CF5)+17/1440,1),"HH:MM")</f>
        <v/>
      </c>
      <c r="CG13" s="15">
        <f>TEXT(MOD(TIMEVALUE(CG5)+17/1440,1),"HH:MM")</f>
        <v/>
      </c>
      <c r="CH13" s="15">
        <f>TEXT(MOD(TIMEVALUE(CH5)+17/1440,1),"HH:MM")</f>
        <v/>
      </c>
      <c r="CI13" s="15">
        <f>TEXT(MOD(TIMEVALUE(CI5)+17/1440,1),"HH:MM")</f>
        <v/>
      </c>
      <c r="CJ13" s="15">
        <f>TEXT(MOD(TIMEVALUE(CJ5)+17/1440,1),"HH:MM")</f>
        <v/>
      </c>
      <c r="CK13" s="15">
        <f>TEXT(MOD(TIMEVALUE(CK5)+17/1440,1),"HH:MM")</f>
        <v/>
      </c>
      <c r="CL13" s="15">
        <f>TEXT(MOD(TIMEVALUE(CL5)+17/1440,1),"HH:MM")</f>
        <v/>
      </c>
      <c r="CM13" s="15">
        <f>TEXT(MOD(TIMEVALUE(CM5)+17/1440,1),"HH:MM")</f>
        <v/>
      </c>
      <c r="CN13" s="15">
        <f>TEXT(MOD(TIMEVALUE(CN5)+17/1440,1),"HH:MM")</f>
        <v/>
      </c>
      <c r="CO13" s="15">
        <f>TEXT(MOD(TIMEVALUE(CO5)+17/1440,1),"HH:MM")</f>
        <v/>
      </c>
    </row>
    <row r="14" ht="16.5" customHeight="1" s="26">
      <c r="A14" s="22" t="inlineStr">
        <is>
          <t>Tropezón</t>
        </is>
      </c>
      <c r="B14" s="13">
        <f>TEXT(MOD(TIMEVALUE(B5)+19/1440,1),"HH:MM")</f>
        <v/>
      </c>
      <c r="C14" s="13">
        <f>TEXT(MOD(TIMEVALUE(C5)+19/1440,1),"HH:MM")</f>
        <v/>
      </c>
      <c r="D14" s="13">
        <f>TEXT(MOD(TIMEVALUE(D5)+19/1440,1),"HH:MM")</f>
        <v/>
      </c>
      <c r="E14" s="13">
        <f>TEXT(MOD(TIMEVALUE(E5)+19/1440,1),"HH:MM")</f>
        <v/>
      </c>
      <c r="F14" s="13">
        <f>TEXT(MOD(TIMEVALUE(F5)+19/1440,1),"HH:MM")</f>
        <v/>
      </c>
      <c r="G14" s="13">
        <f>TEXT(MOD(TIMEVALUE(G5)+19/1440,1),"HH:MM")</f>
        <v/>
      </c>
      <c r="H14" s="13">
        <f>TEXT(MOD(TIMEVALUE(H5)+19/1440,1),"HH:MM")</f>
        <v/>
      </c>
      <c r="I14" s="13">
        <f>TEXT(MOD(TIMEVALUE(I5)+19/1440,1),"HH:MM")</f>
        <v/>
      </c>
      <c r="J14" s="13">
        <f>TEXT(MOD(TIMEVALUE(J5)+19/1440,1),"HH:MM")</f>
        <v/>
      </c>
      <c r="K14" s="13">
        <f>TEXT(MOD(TIMEVALUE(K5)+19/1440,1),"HH:MM")</f>
        <v/>
      </c>
      <c r="L14" s="13">
        <f>TEXT(MOD(TIMEVALUE(L5)+19/1440,1),"HH:MM")</f>
        <v/>
      </c>
      <c r="M14" s="13">
        <f>TEXT(MOD(TIMEVALUE(M5)+19/1440,1),"HH:MM")</f>
        <v/>
      </c>
      <c r="N14" s="13">
        <f>TEXT(MOD(TIMEVALUE(N5)+19/1440,1),"HH:MM")</f>
        <v/>
      </c>
      <c r="O14" s="13">
        <f>TEXT(MOD(TIMEVALUE(O5)+19/1440,1),"HH:MM")</f>
        <v/>
      </c>
      <c r="P14" s="13">
        <f>TEXT(MOD(TIMEVALUE(P5)+19/1440,1),"HH:MM")</f>
        <v/>
      </c>
      <c r="Q14" s="13">
        <f>TEXT(MOD(TIMEVALUE(Q5)+19/1440,1),"HH:MM")</f>
        <v/>
      </c>
      <c r="R14" s="13">
        <f>TEXT(MOD(TIMEVALUE(R5)+19/1440,1),"HH:MM")</f>
        <v/>
      </c>
      <c r="S14" s="13">
        <f>TEXT(MOD(TIMEVALUE(S5)+19/1440,1),"HH:MM")</f>
        <v/>
      </c>
      <c r="T14" s="13">
        <f>TEXT(MOD(TIMEVALUE(T5)+19/1440,1),"HH:MM")</f>
        <v/>
      </c>
      <c r="U14" s="13">
        <f>TEXT(MOD(TIMEVALUE(U5)+19/1440,1),"HH:MM")</f>
        <v/>
      </c>
      <c r="V14" s="13">
        <f>TEXT(MOD(TIMEVALUE(V5)+19/1440,1),"HH:MM")</f>
        <v/>
      </c>
      <c r="W14" s="13">
        <f>TEXT(MOD(TIMEVALUE(W5)+19/1440,1),"HH:MM")</f>
        <v/>
      </c>
      <c r="X14" s="13">
        <f>TEXT(MOD(TIMEVALUE(X5)+19/1440,1),"HH:MM")</f>
        <v/>
      </c>
      <c r="Y14" s="13">
        <f>TEXT(MOD(TIMEVALUE(Y5)+19/1440,1),"HH:MM")</f>
        <v/>
      </c>
      <c r="Z14" s="13">
        <f>TEXT(MOD(TIMEVALUE(Z5)+19/1440,1),"HH:MM")</f>
        <v/>
      </c>
      <c r="AA14" s="13">
        <f>TEXT(MOD(TIMEVALUE(AA5)+19/1440,1),"HH:MM")</f>
        <v/>
      </c>
      <c r="AB14" s="13">
        <f>TEXT(MOD(TIMEVALUE(AB5)+19/1440,1),"HH:MM")</f>
        <v/>
      </c>
      <c r="AC14" s="13">
        <f>TEXT(MOD(TIMEVALUE(AC5)+19/1440,1),"HH:MM")</f>
        <v/>
      </c>
      <c r="AD14" s="13">
        <f>TEXT(MOD(TIMEVALUE(AD5)+19/1440,1),"HH:MM")</f>
        <v/>
      </c>
      <c r="AE14" s="13">
        <f>TEXT(MOD(TIMEVALUE(AE5)+19/1440,1),"HH:MM")</f>
        <v/>
      </c>
      <c r="AF14" s="13">
        <f>TEXT(MOD(TIMEVALUE(AF5)+19/1440,1),"HH:MM")</f>
        <v/>
      </c>
      <c r="AG14" s="13">
        <f>TEXT(MOD(TIMEVALUE(AG5)+19/1440,1),"HH:MM")</f>
        <v/>
      </c>
      <c r="AH14" s="13">
        <f>TEXT(MOD(TIMEVALUE(AH5)+19/1440,1),"HH:MM")</f>
        <v/>
      </c>
      <c r="AI14" s="13">
        <f>TEXT(MOD(TIMEVALUE(AI5)+19/1440,1),"HH:MM")</f>
        <v/>
      </c>
      <c r="AJ14" s="13">
        <f>TEXT(MOD(TIMEVALUE(AJ5)+19/1440,1),"HH:MM")</f>
        <v/>
      </c>
      <c r="AK14" s="13">
        <f>TEXT(MOD(TIMEVALUE(AK5)+19/1440,1),"HH:MM")</f>
        <v/>
      </c>
      <c r="AL14" s="13">
        <f>TEXT(MOD(TIMEVALUE(AL5)+19/1440,1),"HH:MM")</f>
        <v/>
      </c>
      <c r="AM14" s="13">
        <f>TEXT(MOD(TIMEVALUE(AM5)+19/1440,1),"HH:MM")</f>
        <v/>
      </c>
      <c r="AN14" s="13">
        <f>TEXT(MOD(TIMEVALUE(AN5)+19/1440,1),"HH:MM")</f>
        <v/>
      </c>
      <c r="AO14" s="13">
        <f>TEXT(MOD(TIMEVALUE(AO5)+19/1440,1),"HH:MM")</f>
        <v/>
      </c>
      <c r="AP14" s="13">
        <f>TEXT(MOD(TIMEVALUE(AP5)+19/1440,1),"HH:MM")</f>
        <v/>
      </c>
      <c r="AQ14" s="13">
        <f>TEXT(MOD(TIMEVALUE(AQ5)+19/1440,1),"HH:MM")</f>
        <v/>
      </c>
      <c r="AR14" s="13">
        <f>TEXT(MOD(TIMEVALUE(AR5)+19/1440,1),"HH:MM")</f>
        <v/>
      </c>
      <c r="AS14" s="13">
        <f>TEXT(MOD(TIMEVALUE(AS5)+19/1440,1),"HH:MM")</f>
        <v/>
      </c>
      <c r="AT14" s="13">
        <f>TEXT(MOD(TIMEVALUE(AT5)+19/1440,1),"HH:MM")</f>
        <v/>
      </c>
      <c r="AU14" s="13">
        <f>TEXT(MOD(TIMEVALUE(AU5)+19/1440,1),"HH:MM")</f>
        <v/>
      </c>
      <c r="AV14" s="13">
        <f>TEXT(MOD(TIMEVALUE(AV5)+19/1440,1),"HH:MM")</f>
        <v/>
      </c>
      <c r="AW14" s="13">
        <f>TEXT(MOD(TIMEVALUE(AW5)+19/1440,1),"HH:MM")</f>
        <v/>
      </c>
      <c r="AX14" s="13">
        <f>TEXT(MOD(TIMEVALUE(AX5)+19/1440,1),"HH:MM")</f>
        <v/>
      </c>
      <c r="AY14" s="13">
        <f>TEXT(MOD(TIMEVALUE(AY5)+19/1440,1),"HH:MM")</f>
        <v/>
      </c>
      <c r="AZ14" s="13">
        <f>TEXT(MOD(TIMEVALUE(AZ5)+19/1440,1),"HH:MM")</f>
        <v/>
      </c>
      <c r="BA14" s="13">
        <f>TEXT(MOD(TIMEVALUE(BA5)+19/1440,1),"HH:MM")</f>
        <v/>
      </c>
      <c r="BB14" s="13">
        <f>TEXT(MOD(TIMEVALUE(BB5)+19/1440,1),"HH:MM")</f>
        <v/>
      </c>
      <c r="BC14" s="13">
        <f>TEXT(MOD(TIMEVALUE(BC5)+19/1440,1),"HH:MM")</f>
        <v/>
      </c>
      <c r="BD14" s="13">
        <f>TEXT(MOD(TIMEVALUE(BD5)+19/1440,1),"HH:MM")</f>
        <v/>
      </c>
      <c r="BE14" s="13">
        <f>TEXT(MOD(TIMEVALUE(BE5)+19/1440,1),"HH:MM")</f>
        <v/>
      </c>
      <c r="BF14" s="13">
        <f>TEXT(MOD(TIMEVALUE(BF5)+19/1440,1),"HH:MM")</f>
        <v/>
      </c>
      <c r="BG14" s="13">
        <f>TEXT(MOD(TIMEVALUE(BG5)+19/1440,1),"HH:MM")</f>
        <v/>
      </c>
      <c r="BH14" s="13">
        <f>TEXT(MOD(TIMEVALUE(BH5)+19/1440,1),"HH:MM")</f>
        <v/>
      </c>
      <c r="BI14" s="13">
        <f>TEXT(MOD(TIMEVALUE(BI5)+19/1440,1),"HH:MM")</f>
        <v/>
      </c>
      <c r="BJ14" s="13">
        <f>TEXT(MOD(TIMEVALUE(BJ5)+19/1440,1),"HH:MM")</f>
        <v/>
      </c>
      <c r="BK14" s="13">
        <f>TEXT(MOD(TIMEVALUE(BK5)+19/1440,1),"HH:MM")</f>
        <v/>
      </c>
      <c r="BL14" s="13">
        <f>TEXT(MOD(TIMEVALUE(BL5)+19/1440,1),"HH:MM")</f>
        <v/>
      </c>
      <c r="BM14" s="13">
        <f>TEXT(MOD(TIMEVALUE(BM5)+19/1440,1),"HH:MM")</f>
        <v/>
      </c>
      <c r="BN14" s="13">
        <f>TEXT(MOD(TIMEVALUE(BN5)+19/1440,1),"HH:MM")</f>
        <v/>
      </c>
      <c r="BO14" s="13">
        <f>TEXT(MOD(TIMEVALUE(BO5)+19/1440,1),"HH:MM")</f>
        <v/>
      </c>
      <c r="BP14" s="13">
        <f>TEXT(MOD(TIMEVALUE(BP5)+19/1440,1),"HH:MM")</f>
        <v/>
      </c>
      <c r="BQ14" s="13">
        <f>TEXT(MOD(TIMEVALUE(BQ5)+19/1440,1),"HH:MM")</f>
        <v/>
      </c>
      <c r="BR14" s="13">
        <f>TEXT(MOD(TIMEVALUE(BR5)+19/1440,1),"HH:MM")</f>
        <v/>
      </c>
      <c r="BS14" s="13">
        <f>TEXT(MOD(TIMEVALUE(BS5)+19/1440,1),"HH:MM")</f>
        <v/>
      </c>
      <c r="BT14" s="13">
        <f>TEXT(MOD(TIMEVALUE(BT5)+19/1440,1),"HH:MM")</f>
        <v/>
      </c>
      <c r="BU14" s="13">
        <f>TEXT(MOD(TIMEVALUE(BU5)+19/1440,1),"HH:MM")</f>
        <v/>
      </c>
      <c r="BV14" s="13">
        <f>TEXT(MOD(TIMEVALUE(BV5)+19/1440,1),"HH:MM")</f>
        <v/>
      </c>
      <c r="BW14" s="13">
        <f>TEXT(MOD(TIMEVALUE(BW5)+19/1440,1),"HH:MM")</f>
        <v/>
      </c>
      <c r="BX14" s="13">
        <f>TEXT(MOD(TIMEVALUE(BX5)+19/1440,1),"HH:MM")</f>
        <v/>
      </c>
      <c r="BY14" s="13">
        <f>TEXT(MOD(TIMEVALUE(BY5)+19/1440,1),"HH:MM")</f>
        <v/>
      </c>
      <c r="BZ14" s="13">
        <f>TEXT(MOD(TIMEVALUE(BZ5)+19/1440,1),"HH:MM")</f>
        <v/>
      </c>
      <c r="CA14" s="13">
        <f>TEXT(MOD(TIMEVALUE(CA5)+19/1440,1),"HH:MM")</f>
        <v/>
      </c>
      <c r="CB14" s="13">
        <f>TEXT(MOD(TIMEVALUE(CB5)+19/1440,1),"HH:MM")</f>
        <v/>
      </c>
      <c r="CC14" s="13">
        <f>TEXT(MOD(TIMEVALUE(CC5)+19/1440,1),"HH:MM")</f>
        <v/>
      </c>
      <c r="CD14" s="13">
        <f>TEXT(MOD(TIMEVALUE(CD5)+19/1440,1),"HH:MM")</f>
        <v/>
      </c>
      <c r="CE14" s="13">
        <f>TEXT(MOD(TIMEVALUE(CE5)+19/1440,1),"HH:MM")</f>
        <v/>
      </c>
      <c r="CF14" s="13">
        <f>TEXT(MOD(TIMEVALUE(CF5)+19/1440,1),"HH:MM")</f>
        <v/>
      </c>
      <c r="CG14" s="13">
        <f>TEXT(MOD(TIMEVALUE(CG5)+19/1440,1),"HH:MM")</f>
        <v/>
      </c>
      <c r="CH14" s="13">
        <f>TEXT(MOD(TIMEVALUE(CH5)+19/1440,1),"HH:MM")</f>
        <v/>
      </c>
      <c r="CI14" s="13">
        <f>TEXT(MOD(TIMEVALUE(CI5)+19/1440,1),"HH:MM")</f>
        <v/>
      </c>
      <c r="CJ14" s="13">
        <f>TEXT(MOD(TIMEVALUE(CJ5)+19/1440,1),"HH:MM")</f>
        <v/>
      </c>
      <c r="CK14" s="13">
        <f>TEXT(MOD(TIMEVALUE(CK5)+19/1440,1),"HH:MM")</f>
        <v/>
      </c>
      <c r="CL14" s="13">
        <f>TEXT(MOD(TIMEVALUE(CL5)+19/1440,1),"HH:MM")</f>
        <v/>
      </c>
      <c r="CM14" s="13">
        <f>TEXT(MOD(TIMEVALUE(CM5)+19/1440,1),"HH:MM")</f>
        <v/>
      </c>
      <c r="CN14" s="13">
        <f>TEXT(MOD(TIMEVALUE(CN5)+19/1440,1),"HH:MM")</f>
        <v/>
      </c>
      <c r="CO14" s="13">
        <f>TEXT(MOD(TIMEVALUE(CO5)+19/1440,1),"HH:MM")</f>
        <v/>
      </c>
    </row>
    <row r="15" ht="16.5" customHeight="1" s="26">
      <c r="A15" s="23" t="inlineStr">
        <is>
          <t>José M. Bosch</t>
        </is>
      </c>
      <c r="B15" s="15">
        <f>TEXT(MOD(TIMEVALUE(B5)+21/1440,1),"HH:MM")</f>
        <v/>
      </c>
      <c r="C15" s="15">
        <f>TEXT(MOD(TIMEVALUE(C5)+21/1440,1),"HH:MM")</f>
        <v/>
      </c>
      <c r="D15" s="15">
        <f>TEXT(MOD(TIMEVALUE(D5)+21/1440,1),"HH:MM")</f>
        <v/>
      </c>
      <c r="E15" s="15">
        <f>TEXT(MOD(TIMEVALUE(E5)+21/1440,1),"HH:MM")</f>
        <v/>
      </c>
      <c r="F15" s="15">
        <f>TEXT(MOD(TIMEVALUE(F5)+21/1440,1),"HH:MM")</f>
        <v/>
      </c>
      <c r="G15" s="15">
        <f>TEXT(MOD(TIMEVALUE(G5)+21/1440,1),"HH:MM")</f>
        <v/>
      </c>
      <c r="H15" s="15">
        <f>TEXT(MOD(TIMEVALUE(H5)+21/1440,1),"HH:MM")</f>
        <v/>
      </c>
      <c r="I15" s="15">
        <f>TEXT(MOD(TIMEVALUE(I5)+21/1440,1),"HH:MM")</f>
        <v/>
      </c>
      <c r="J15" s="15">
        <f>TEXT(MOD(TIMEVALUE(J5)+21/1440,1),"HH:MM")</f>
        <v/>
      </c>
      <c r="K15" s="15">
        <f>TEXT(MOD(TIMEVALUE(K5)+21/1440,1),"HH:MM")</f>
        <v/>
      </c>
      <c r="L15" s="15">
        <f>TEXT(MOD(TIMEVALUE(L5)+21/1440,1),"HH:MM")</f>
        <v/>
      </c>
      <c r="M15" s="15">
        <f>TEXT(MOD(TIMEVALUE(M5)+21/1440,1),"HH:MM")</f>
        <v/>
      </c>
      <c r="N15" s="15">
        <f>TEXT(MOD(TIMEVALUE(N5)+21/1440,1),"HH:MM")</f>
        <v/>
      </c>
      <c r="O15" s="15">
        <f>TEXT(MOD(TIMEVALUE(O5)+21/1440,1),"HH:MM")</f>
        <v/>
      </c>
      <c r="P15" s="15">
        <f>TEXT(MOD(TIMEVALUE(P5)+21/1440,1),"HH:MM")</f>
        <v/>
      </c>
      <c r="Q15" s="15">
        <f>TEXT(MOD(TIMEVALUE(Q5)+21/1440,1),"HH:MM")</f>
        <v/>
      </c>
      <c r="R15" s="15">
        <f>TEXT(MOD(TIMEVALUE(R5)+21/1440,1),"HH:MM")</f>
        <v/>
      </c>
      <c r="S15" s="15">
        <f>TEXT(MOD(TIMEVALUE(S5)+21/1440,1),"HH:MM")</f>
        <v/>
      </c>
      <c r="T15" s="15">
        <f>TEXT(MOD(TIMEVALUE(T5)+21/1440,1),"HH:MM")</f>
        <v/>
      </c>
      <c r="U15" s="15">
        <f>TEXT(MOD(TIMEVALUE(U5)+21/1440,1),"HH:MM")</f>
        <v/>
      </c>
      <c r="V15" s="15">
        <f>TEXT(MOD(TIMEVALUE(V5)+21/1440,1),"HH:MM")</f>
        <v/>
      </c>
      <c r="W15" s="15">
        <f>TEXT(MOD(TIMEVALUE(W5)+21/1440,1),"HH:MM")</f>
        <v/>
      </c>
      <c r="X15" s="15">
        <f>TEXT(MOD(TIMEVALUE(X5)+21/1440,1),"HH:MM")</f>
        <v/>
      </c>
      <c r="Y15" s="15">
        <f>TEXT(MOD(TIMEVALUE(Y5)+21/1440,1),"HH:MM")</f>
        <v/>
      </c>
      <c r="Z15" s="15">
        <f>TEXT(MOD(TIMEVALUE(Z5)+21/1440,1),"HH:MM")</f>
        <v/>
      </c>
      <c r="AA15" s="15">
        <f>TEXT(MOD(TIMEVALUE(AA5)+21/1440,1),"HH:MM")</f>
        <v/>
      </c>
      <c r="AB15" s="15">
        <f>TEXT(MOD(TIMEVALUE(AB5)+21/1440,1),"HH:MM")</f>
        <v/>
      </c>
      <c r="AC15" s="15">
        <f>TEXT(MOD(TIMEVALUE(AC5)+21/1440,1),"HH:MM")</f>
        <v/>
      </c>
      <c r="AD15" s="15">
        <f>TEXT(MOD(TIMEVALUE(AD5)+21/1440,1),"HH:MM")</f>
        <v/>
      </c>
      <c r="AE15" s="15">
        <f>TEXT(MOD(TIMEVALUE(AE5)+21/1440,1),"HH:MM")</f>
        <v/>
      </c>
      <c r="AF15" s="15">
        <f>TEXT(MOD(TIMEVALUE(AF5)+21/1440,1),"HH:MM")</f>
        <v/>
      </c>
      <c r="AG15" s="15">
        <f>TEXT(MOD(TIMEVALUE(AG5)+21/1440,1),"HH:MM")</f>
        <v/>
      </c>
      <c r="AH15" s="15">
        <f>TEXT(MOD(TIMEVALUE(AH5)+21/1440,1),"HH:MM")</f>
        <v/>
      </c>
      <c r="AI15" s="15">
        <f>TEXT(MOD(TIMEVALUE(AI5)+21/1440,1),"HH:MM")</f>
        <v/>
      </c>
      <c r="AJ15" s="15">
        <f>TEXT(MOD(TIMEVALUE(AJ5)+21/1440,1),"HH:MM")</f>
        <v/>
      </c>
      <c r="AK15" s="15">
        <f>TEXT(MOD(TIMEVALUE(AK5)+21/1440,1),"HH:MM")</f>
        <v/>
      </c>
      <c r="AL15" s="15">
        <f>TEXT(MOD(TIMEVALUE(AL5)+21/1440,1),"HH:MM")</f>
        <v/>
      </c>
      <c r="AM15" s="15">
        <f>TEXT(MOD(TIMEVALUE(AM5)+21/1440,1),"HH:MM")</f>
        <v/>
      </c>
      <c r="AN15" s="15">
        <f>TEXT(MOD(TIMEVALUE(AN5)+21/1440,1),"HH:MM")</f>
        <v/>
      </c>
      <c r="AO15" s="15">
        <f>TEXT(MOD(TIMEVALUE(AO5)+21/1440,1),"HH:MM")</f>
        <v/>
      </c>
      <c r="AP15" s="15">
        <f>TEXT(MOD(TIMEVALUE(AP5)+21/1440,1),"HH:MM")</f>
        <v/>
      </c>
      <c r="AQ15" s="15">
        <f>TEXT(MOD(TIMEVALUE(AQ5)+21/1440,1),"HH:MM")</f>
        <v/>
      </c>
      <c r="AR15" s="15">
        <f>TEXT(MOD(TIMEVALUE(AR5)+21/1440,1),"HH:MM")</f>
        <v/>
      </c>
      <c r="AS15" s="15">
        <f>TEXT(MOD(TIMEVALUE(AS5)+21/1440,1),"HH:MM")</f>
        <v/>
      </c>
      <c r="AT15" s="15">
        <f>TEXT(MOD(TIMEVALUE(AT5)+21/1440,1),"HH:MM")</f>
        <v/>
      </c>
      <c r="AU15" s="15">
        <f>TEXT(MOD(TIMEVALUE(AU5)+21/1440,1),"HH:MM")</f>
        <v/>
      </c>
      <c r="AV15" s="15">
        <f>TEXT(MOD(TIMEVALUE(AV5)+21/1440,1),"HH:MM")</f>
        <v/>
      </c>
      <c r="AW15" s="15">
        <f>TEXT(MOD(TIMEVALUE(AW5)+21/1440,1),"HH:MM")</f>
        <v/>
      </c>
      <c r="AX15" s="15">
        <f>TEXT(MOD(TIMEVALUE(AX5)+21/1440,1),"HH:MM")</f>
        <v/>
      </c>
      <c r="AY15" s="15">
        <f>TEXT(MOD(TIMEVALUE(AY5)+21/1440,1),"HH:MM")</f>
        <v/>
      </c>
      <c r="AZ15" s="15">
        <f>TEXT(MOD(TIMEVALUE(AZ5)+21/1440,1),"HH:MM")</f>
        <v/>
      </c>
      <c r="BA15" s="15">
        <f>TEXT(MOD(TIMEVALUE(BA5)+21/1440,1),"HH:MM")</f>
        <v/>
      </c>
      <c r="BB15" s="15">
        <f>TEXT(MOD(TIMEVALUE(BB5)+21/1440,1),"HH:MM")</f>
        <v/>
      </c>
      <c r="BC15" s="15">
        <f>TEXT(MOD(TIMEVALUE(BC5)+21/1440,1),"HH:MM")</f>
        <v/>
      </c>
      <c r="BD15" s="15">
        <f>TEXT(MOD(TIMEVALUE(BD5)+21/1440,1),"HH:MM")</f>
        <v/>
      </c>
      <c r="BE15" s="15">
        <f>TEXT(MOD(TIMEVALUE(BE5)+21/1440,1),"HH:MM")</f>
        <v/>
      </c>
      <c r="BF15" s="15">
        <f>TEXT(MOD(TIMEVALUE(BF5)+21/1440,1),"HH:MM")</f>
        <v/>
      </c>
      <c r="BG15" s="15">
        <f>TEXT(MOD(TIMEVALUE(BG5)+21/1440,1),"HH:MM")</f>
        <v/>
      </c>
      <c r="BH15" s="15">
        <f>TEXT(MOD(TIMEVALUE(BH5)+21/1440,1),"HH:MM")</f>
        <v/>
      </c>
      <c r="BI15" s="15">
        <f>TEXT(MOD(TIMEVALUE(BI5)+21/1440,1),"HH:MM")</f>
        <v/>
      </c>
      <c r="BJ15" s="15">
        <f>TEXT(MOD(TIMEVALUE(BJ5)+21/1440,1),"HH:MM")</f>
        <v/>
      </c>
      <c r="BK15" s="15">
        <f>TEXT(MOD(TIMEVALUE(BK5)+21/1440,1),"HH:MM")</f>
        <v/>
      </c>
      <c r="BL15" s="15">
        <f>TEXT(MOD(TIMEVALUE(BL5)+21/1440,1),"HH:MM")</f>
        <v/>
      </c>
      <c r="BM15" s="15">
        <f>TEXT(MOD(TIMEVALUE(BM5)+21/1440,1),"HH:MM")</f>
        <v/>
      </c>
      <c r="BN15" s="15">
        <f>TEXT(MOD(TIMEVALUE(BN5)+21/1440,1),"HH:MM")</f>
        <v/>
      </c>
      <c r="BO15" s="15">
        <f>TEXT(MOD(TIMEVALUE(BO5)+21/1440,1),"HH:MM")</f>
        <v/>
      </c>
      <c r="BP15" s="15">
        <f>TEXT(MOD(TIMEVALUE(BP5)+21/1440,1),"HH:MM")</f>
        <v/>
      </c>
      <c r="BQ15" s="15">
        <f>TEXT(MOD(TIMEVALUE(BQ5)+21/1440,1),"HH:MM")</f>
        <v/>
      </c>
      <c r="BR15" s="15">
        <f>TEXT(MOD(TIMEVALUE(BR5)+21/1440,1),"HH:MM")</f>
        <v/>
      </c>
      <c r="BS15" s="15">
        <f>TEXT(MOD(TIMEVALUE(BS5)+21/1440,1),"HH:MM")</f>
        <v/>
      </c>
      <c r="BT15" s="15">
        <f>TEXT(MOD(TIMEVALUE(BT5)+21/1440,1),"HH:MM")</f>
        <v/>
      </c>
      <c r="BU15" s="15">
        <f>TEXT(MOD(TIMEVALUE(BU5)+21/1440,1),"HH:MM")</f>
        <v/>
      </c>
      <c r="BV15" s="15">
        <f>TEXT(MOD(TIMEVALUE(BV5)+21/1440,1),"HH:MM")</f>
        <v/>
      </c>
      <c r="BW15" s="15">
        <f>TEXT(MOD(TIMEVALUE(BW5)+21/1440,1),"HH:MM")</f>
        <v/>
      </c>
      <c r="BX15" s="15">
        <f>TEXT(MOD(TIMEVALUE(BX5)+21/1440,1),"HH:MM")</f>
        <v/>
      </c>
      <c r="BY15" s="15">
        <f>TEXT(MOD(TIMEVALUE(BY5)+21/1440,1),"HH:MM")</f>
        <v/>
      </c>
      <c r="BZ15" s="15">
        <f>TEXT(MOD(TIMEVALUE(BZ5)+21/1440,1),"HH:MM")</f>
        <v/>
      </c>
      <c r="CA15" s="15">
        <f>TEXT(MOD(TIMEVALUE(CA5)+21/1440,1),"HH:MM")</f>
        <v/>
      </c>
      <c r="CB15" s="15">
        <f>TEXT(MOD(TIMEVALUE(CB5)+21/1440,1),"HH:MM")</f>
        <v/>
      </c>
      <c r="CC15" s="15">
        <f>TEXT(MOD(TIMEVALUE(CC5)+21/1440,1),"HH:MM")</f>
        <v/>
      </c>
      <c r="CD15" s="15">
        <f>TEXT(MOD(TIMEVALUE(CD5)+21/1440,1),"HH:MM")</f>
        <v/>
      </c>
      <c r="CE15" s="15">
        <f>TEXT(MOD(TIMEVALUE(CE5)+21/1440,1),"HH:MM")</f>
        <v/>
      </c>
      <c r="CF15" s="15">
        <f>TEXT(MOD(TIMEVALUE(CF5)+21/1440,1),"HH:MM")</f>
        <v/>
      </c>
      <c r="CG15" s="15">
        <f>TEXT(MOD(TIMEVALUE(CG5)+21/1440,1),"HH:MM")</f>
        <v/>
      </c>
      <c r="CH15" s="15">
        <f>TEXT(MOD(TIMEVALUE(CH5)+21/1440,1),"HH:MM")</f>
        <v/>
      </c>
      <c r="CI15" s="15">
        <f>TEXT(MOD(TIMEVALUE(CI5)+21/1440,1),"HH:MM")</f>
        <v/>
      </c>
      <c r="CJ15" s="15">
        <f>TEXT(MOD(TIMEVALUE(CJ5)+21/1440,1),"HH:MM")</f>
        <v/>
      </c>
      <c r="CK15" s="15">
        <f>TEXT(MOD(TIMEVALUE(CK5)+21/1440,1),"HH:MM")</f>
        <v/>
      </c>
      <c r="CL15" s="15">
        <f>TEXT(MOD(TIMEVALUE(CL5)+21/1440,1),"HH:MM")</f>
        <v/>
      </c>
      <c r="CM15" s="15">
        <f>TEXT(MOD(TIMEVALUE(CM5)+21/1440,1),"HH:MM")</f>
        <v/>
      </c>
      <c r="CN15" s="15">
        <f>TEXT(MOD(TIMEVALUE(CN5)+21/1440,1),"HH:MM")</f>
        <v/>
      </c>
      <c r="CO15" s="15">
        <f>TEXT(MOD(TIMEVALUE(CO5)+21/1440,1),"HH:MM")</f>
        <v/>
      </c>
    </row>
    <row r="16" ht="16.5" customHeight="1" s="26">
      <c r="A16" s="22" t="inlineStr">
        <is>
          <t>Martín Coronado</t>
        </is>
      </c>
      <c r="B16" s="13">
        <f>TEXT(MOD(TIMEVALUE(B5)+24/1440,1),"HH:MM")</f>
        <v/>
      </c>
      <c r="C16" s="13">
        <f>TEXT(MOD(TIMEVALUE(C5)+24/1440,1),"HH:MM")</f>
        <v/>
      </c>
      <c r="D16" s="13">
        <f>TEXT(MOD(TIMEVALUE(D5)+24/1440,1),"HH:MM")</f>
        <v/>
      </c>
      <c r="E16" s="13">
        <f>TEXT(MOD(TIMEVALUE(E5)+24/1440,1),"HH:MM")</f>
        <v/>
      </c>
      <c r="F16" s="13">
        <f>TEXT(MOD(TIMEVALUE(F5)+24/1440,1),"HH:MM")</f>
        <v/>
      </c>
      <c r="G16" s="13">
        <f>TEXT(MOD(TIMEVALUE(G5)+24/1440,1),"HH:MM")</f>
        <v/>
      </c>
      <c r="H16" s="13">
        <f>TEXT(MOD(TIMEVALUE(H5)+24/1440,1),"HH:MM")</f>
        <v/>
      </c>
      <c r="I16" s="13">
        <f>TEXT(MOD(TIMEVALUE(I5)+24/1440,1),"HH:MM")</f>
        <v/>
      </c>
      <c r="J16" s="13">
        <f>TEXT(MOD(TIMEVALUE(J5)+24/1440,1),"HH:MM")</f>
        <v/>
      </c>
      <c r="K16" s="13">
        <f>TEXT(MOD(TIMEVALUE(K5)+24/1440,1),"HH:MM")</f>
        <v/>
      </c>
      <c r="L16" s="13">
        <f>TEXT(MOD(TIMEVALUE(L5)+24/1440,1),"HH:MM")</f>
        <v/>
      </c>
      <c r="M16" s="13">
        <f>TEXT(MOD(TIMEVALUE(M5)+24/1440,1),"HH:MM")</f>
        <v/>
      </c>
      <c r="N16" s="13">
        <f>TEXT(MOD(TIMEVALUE(N5)+24/1440,1),"HH:MM")</f>
        <v/>
      </c>
      <c r="O16" s="13">
        <f>TEXT(MOD(TIMEVALUE(O5)+24/1440,1),"HH:MM")</f>
        <v/>
      </c>
      <c r="P16" s="13">
        <f>TEXT(MOD(TIMEVALUE(P5)+24/1440,1),"HH:MM")</f>
        <v/>
      </c>
      <c r="Q16" s="13">
        <f>TEXT(MOD(TIMEVALUE(Q5)+24/1440,1),"HH:MM")</f>
        <v/>
      </c>
      <c r="R16" s="13">
        <f>TEXT(MOD(TIMEVALUE(R5)+24/1440,1),"HH:MM")</f>
        <v/>
      </c>
      <c r="S16" s="13">
        <f>TEXT(MOD(TIMEVALUE(S5)+24/1440,1),"HH:MM")</f>
        <v/>
      </c>
      <c r="T16" s="13">
        <f>TEXT(MOD(TIMEVALUE(T5)+24/1440,1),"HH:MM")</f>
        <v/>
      </c>
      <c r="U16" s="13">
        <f>TEXT(MOD(TIMEVALUE(U5)+24/1440,1),"HH:MM")</f>
        <v/>
      </c>
      <c r="V16" s="13">
        <f>TEXT(MOD(TIMEVALUE(V5)+24/1440,1),"HH:MM")</f>
        <v/>
      </c>
      <c r="W16" s="13">
        <f>TEXT(MOD(TIMEVALUE(W5)+24/1440,1),"HH:MM")</f>
        <v/>
      </c>
      <c r="X16" s="13">
        <f>TEXT(MOD(TIMEVALUE(X5)+24/1440,1),"HH:MM")</f>
        <v/>
      </c>
      <c r="Y16" s="13">
        <f>TEXT(MOD(TIMEVALUE(Y5)+24/1440,1),"HH:MM")</f>
        <v/>
      </c>
      <c r="Z16" s="13">
        <f>TEXT(MOD(TIMEVALUE(Z5)+24/1440,1),"HH:MM")</f>
        <v/>
      </c>
      <c r="AA16" s="13">
        <f>TEXT(MOD(TIMEVALUE(AA5)+24/1440,1),"HH:MM")</f>
        <v/>
      </c>
      <c r="AB16" s="13">
        <f>TEXT(MOD(TIMEVALUE(AB5)+24/1440,1),"HH:MM")</f>
        <v/>
      </c>
      <c r="AC16" s="13">
        <f>TEXT(MOD(TIMEVALUE(AC5)+24/1440,1),"HH:MM")</f>
        <v/>
      </c>
      <c r="AD16" s="13">
        <f>TEXT(MOD(TIMEVALUE(AD5)+24/1440,1),"HH:MM")</f>
        <v/>
      </c>
      <c r="AE16" s="13">
        <f>TEXT(MOD(TIMEVALUE(AE5)+24/1440,1),"HH:MM")</f>
        <v/>
      </c>
      <c r="AF16" s="13">
        <f>TEXT(MOD(TIMEVALUE(AF5)+24/1440,1),"HH:MM")</f>
        <v/>
      </c>
      <c r="AG16" s="13">
        <f>TEXT(MOD(TIMEVALUE(AG5)+24/1440,1),"HH:MM")</f>
        <v/>
      </c>
      <c r="AH16" s="13">
        <f>TEXT(MOD(TIMEVALUE(AH5)+24/1440,1),"HH:MM")</f>
        <v/>
      </c>
      <c r="AI16" s="13">
        <f>TEXT(MOD(TIMEVALUE(AI5)+24/1440,1),"HH:MM")</f>
        <v/>
      </c>
      <c r="AJ16" s="13">
        <f>TEXT(MOD(TIMEVALUE(AJ5)+24/1440,1),"HH:MM")</f>
        <v/>
      </c>
      <c r="AK16" s="13">
        <f>TEXT(MOD(TIMEVALUE(AK5)+24/1440,1),"HH:MM")</f>
        <v/>
      </c>
      <c r="AL16" s="13">
        <f>TEXT(MOD(TIMEVALUE(AL5)+24/1440,1),"HH:MM")</f>
        <v/>
      </c>
      <c r="AM16" s="13">
        <f>TEXT(MOD(TIMEVALUE(AM5)+24/1440,1),"HH:MM")</f>
        <v/>
      </c>
      <c r="AN16" s="13">
        <f>TEXT(MOD(TIMEVALUE(AN5)+24/1440,1),"HH:MM")</f>
        <v/>
      </c>
      <c r="AO16" s="13">
        <f>TEXT(MOD(TIMEVALUE(AO5)+24/1440,1),"HH:MM")</f>
        <v/>
      </c>
      <c r="AP16" s="13">
        <f>TEXT(MOD(TIMEVALUE(AP5)+24/1440,1),"HH:MM")</f>
        <v/>
      </c>
      <c r="AQ16" s="13">
        <f>TEXT(MOD(TIMEVALUE(AQ5)+24/1440,1),"HH:MM")</f>
        <v/>
      </c>
      <c r="AR16" s="13">
        <f>TEXT(MOD(TIMEVALUE(AR5)+24/1440,1),"HH:MM")</f>
        <v/>
      </c>
      <c r="AS16" s="13">
        <f>TEXT(MOD(TIMEVALUE(AS5)+24/1440,1),"HH:MM")</f>
        <v/>
      </c>
      <c r="AT16" s="13">
        <f>TEXT(MOD(TIMEVALUE(AT5)+24/1440,1),"HH:MM")</f>
        <v/>
      </c>
      <c r="AU16" s="13">
        <f>TEXT(MOD(TIMEVALUE(AU5)+24/1440,1),"HH:MM")</f>
        <v/>
      </c>
      <c r="AV16" s="13">
        <f>TEXT(MOD(TIMEVALUE(AV5)+24/1440,1),"HH:MM")</f>
        <v/>
      </c>
      <c r="AW16" s="13">
        <f>TEXT(MOD(TIMEVALUE(AW5)+24/1440,1),"HH:MM")</f>
        <v/>
      </c>
      <c r="AX16" s="13">
        <f>TEXT(MOD(TIMEVALUE(AX5)+24/1440,1),"HH:MM")</f>
        <v/>
      </c>
      <c r="AY16" s="13">
        <f>TEXT(MOD(TIMEVALUE(AY5)+24/1440,1),"HH:MM")</f>
        <v/>
      </c>
      <c r="AZ16" s="13">
        <f>TEXT(MOD(TIMEVALUE(AZ5)+24/1440,1),"HH:MM")</f>
        <v/>
      </c>
      <c r="BA16" s="13">
        <f>TEXT(MOD(TIMEVALUE(BA5)+24/1440,1),"HH:MM")</f>
        <v/>
      </c>
      <c r="BB16" s="13">
        <f>TEXT(MOD(TIMEVALUE(BB5)+24/1440,1),"HH:MM")</f>
        <v/>
      </c>
      <c r="BC16" s="13">
        <f>TEXT(MOD(TIMEVALUE(BC5)+24/1440,1),"HH:MM")</f>
        <v/>
      </c>
      <c r="BD16" s="13">
        <f>TEXT(MOD(TIMEVALUE(BD5)+24/1440,1),"HH:MM")</f>
        <v/>
      </c>
      <c r="BE16" s="13">
        <f>TEXT(MOD(TIMEVALUE(BE5)+24/1440,1),"HH:MM")</f>
        <v/>
      </c>
      <c r="BF16" s="13">
        <f>TEXT(MOD(TIMEVALUE(BF5)+24/1440,1),"HH:MM")</f>
        <v/>
      </c>
      <c r="BG16" s="13">
        <f>TEXT(MOD(TIMEVALUE(BG5)+24/1440,1),"HH:MM")</f>
        <v/>
      </c>
      <c r="BH16" s="13">
        <f>TEXT(MOD(TIMEVALUE(BH5)+24/1440,1),"HH:MM")</f>
        <v/>
      </c>
      <c r="BI16" s="13">
        <f>TEXT(MOD(TIMEVALUE(BI5)+24/1440,1),"HH:MM")</f>
        <v/>
      </c>
      <c r="BJ16" s="13">
        <f>TEXT(MOD(TIMEVALUE(BJ5)+24/1440,1),"HH:MM")</f>
        <v/>
      </c>
      <c r="BK16" s="13">
        <f>TEXT(MOD(TIMEVALUE(BK5)+24/1440,1),"HH:MM")</f>
        <v/>
      </c>
      <c r="BL16" s="13">
        <f>TEXT(MOD(TIMEVALUE(BL5)+24/1440,1),"HH:MM")</f>
        <v/>
      </c>
      <c r="BM16" s="13">
        <f>TEXT(MOD(TIMEVALUE(BM5)+24/1440,1),"HH:MM")</f>
        <v/>
      </c>
      <c r="BN16" s="13">
        <f>TEXT(MOD(TIMEVALUE(BN5)+24/1440,1),"HH:MM")</f>
        <v/>
      </c>
      <c r="BO16" s="13">
        <f>TEXT(MOD(TIMEVALUE(BO5)+24/1440,1),"HH:MM")</f>
        <v/>
      </c>
      <c r="BP16" s="13">
        <f>TEXT(MOD(TIMEVALUE(BP5)+24/1440,1),"HH:MM")</f>
        <v/>
      </c>
      <c r="BQ16" s="13">
        <f>TEXT(MOD(TIMEVALUE(BQ5)+24/1440,1),"HH:MM")</f>
        <v/>
      </c>
      <c r="BR16" s="13">
        <f>TEXT(MOD(TIMEVALUE(BR5)+24/1440,1),"HH:MM")</f>
        <v/>
      </c>
      <c r="BS16" s="13">
        <f>TEXT(MOD(TIMEVALUE(BS5)+24/1440,1),"HH:MM")</f>
        <v/>
      </c>
      <c r="BT16" s="13">
        <f>TEXT(MOD(TIMEVALUE(BT5)+24/1440,1),"HH:MM")</f>
        <v/>
      </c>
      <c r="BU16" s="13">
        <f>TEXT(MOD(TIMEVALUE(BU5)+24/1440,1),"HH:MM")</f>
        <v/>
      </c>
      <c r="BV16" s="13">
        <f>TEXT(MOD(TIMEVALUE(BV5)+24/1440,1),"HH:MM")</f>
        <v/>
      </c>
      <c r="BW16" s="13">
        <f>TEXT(MOD(TIMEVALUE(BW5)+24/1440,1),"HH:MM")</f>
        <v/>
      </c>
      <c r="BX16" s="13">
        <f>TEXT(MOD(TIMEVALUE(BX5)+24/1440,1),"HH:MM")</f>
        <v/>
      </c>
      <c r="BY16" s="13">
        <f>TEXT(MOD(TIMEVALUE(BY5)+24/1440,1),"HH:MM")</f>
        <v/>
      </c>
      <c r="BZ16" s="13">
        <f>TEXT(MOD(TIMEVALUE(BZ5)+24/1440,1),"HH:MM")</f>
        <v/>
      </c>
      <c r="CA16" s="13">
        <f>TEXT(MOD(TIMEVALUE(CA5)+24/1440,1),"HH:MM")</f>
        <v/>
      </c>
      <c r="CB16" s="13">
        <f>TEXT(MOD(TIMEVALUE(CB5)+24/1440,1),"HH:MM")</f>
        <v/>
      </c>
      <c r="CC16" s="13">
        <f>TEXT(MOD(TIMEVALUE(CC5)+24/1440,1),"HH:MM")</f>
        <v/>
      </c>
      <c r="CD16" s="13">
        <f>TEXT(MOD(TIMEVALUE(CD5)+24/1440,1),"HH:MM")</f>
        <v/>
      </c>
      <c r="CE16" s="13">
        <f>TEXT(MOD(TIMEVALUE(CE5)+24/1440,1),"HH:MM")</f>
        <v/>
      </c>
      <c r="CF16" s="13">
        <f>TEXT(MOD(TIMEVALUE(CF5)+24/1440,1),"HH:MM")</f>
        <v/>
      </c>
      <c r="CG16" s="13">
        <f>TEXT(MOD(TIMEVALUE(CG5)+24/1440,1),"HH:MM")</f>
        <v/>
      </c>
      <c r="CH16" s="13">
        <f>TEXT(MOD(TIMEVALUE(CH5)+24/1440,1),"HH:MM")</f>
        <v/>
      </c>
      <c r="CI16" s="13">
        <f>TEXT(MOD(TIMEVALUE(CI5)+24/1440,1),"HH:MM")</f>
        <v/>
      </c>
      <c r="CJ16" s="13">
        <f>TEXT(MOD(TIMEVALUE(CJ5)+24/1440,1),"HH:MM")</f>
        <v/>
      </c>
      <c r="CK16" s="13">
        <f>TEXT(MOD(TIMEVALUE(CK5)+24/1440,1),"HH:MM")</f>
        <v/>
      </c>
      <c r="CL16" s="13">
        <f>TEXT(MOD(TIMEVALUE(CL5)+24/1440,1),"HH:MM")</f>
        <v/>
      </c>
      <c r="CM16" s="13">
        <f>TEXT(MOD(TIMEVALUE(CM5)+24/1440,1),"HH:MM")</f>
        <v/>
      </c>
      <c r="CN16" s="13">
        <f>TEXT(MOD(TIMEVALUE(CN5)+24/1440,1),"HH:MM")</f>
        <v/>
      </c>
      <c r="CO16" s="13">
        <f>TEXT(MOD(TIMEVALUE(CO5)+24/1440,1),"HH:MM")</f>
        <v/>
      </c>
    </row>
    <row r="17" ht="16.5" customHeight="1" s="26">
      <c r="A17" s="23" t="inlineStr">
        <is>
          <t>Pedro Podestá</t>
        </is>
      </c>
      <c r="B17" s="15">
        <f>TEXT(MOD(TIMEVALUE(B5)+26/1440,1),"HH:MM")</f>
        <v/>
      </c>
      <c r="C17" s="15">
        <f>TEXT(MOD(TIMEVALUE(C5)+26/1440,1),"HH:MM")</f>
        <v/>
      </c>
      <c r="D17" s="15">
        <f>TEXT(MOD(TIMEVALUE(D5)+26/1440,1),"HH:MM")</f>
        <v/>
      </c>
      <c r="E17" s="15">
        <f>TEXT(MOD(TIMEVALUE(E5)+26/1440,1),"HH:MM")</f>
        <v/>
      </c>
      <c r="F17" s="15">
        <f>TEXT(MOD(TIMEVALUE(F5)+26/1440,1),"HH:MM")</f>
        <v/>
      </c>
      <c r="G17" s="15">
        <f>TEXT(MOD(TIMEVALUE(G5)+26/1440,1),"HH:MM")</f>
        <v/>
      </c>
      <c r="H17" s="15">
        <f>TEXT(MOD(TIMEVALUE(H5)+26/1440,1),"HH:MM")</f>
        <v/>
      </c>
      <c r="I17" s="15">
        <f>TEXT(MOD(TIMEVALUE(I5)+26/1440,1),"HH:MM")</f>
        <v/>
      </c>
      <c r="J17" s="15">
        <f>TEXT(MOD(TIMEVALUE(J5)+26/1440,1),"HH:MM")</f>
        <v/>
      </c>
      <c r="K17" s="15">
        <f>TEXT(MOD(TIMEVALUE(K5)+26/1440,1),"HH:MM")</f>
        <v/>
      </c>
      <c r="L17" s="15">
        <f>TEXT(MOD(TIMEVALUE(L5)+26/1440,1),"HH:MM")</f>
        <v/>
      </c>
      <c r="M17" s="15">
        <f>TEXT(MOD(TIMEVALUE(M5)+26/1440,1),"HH:MM")</f>
        <v/>
      </c>
      <c r="N17" s="15">
        <f>TEXT(MOD(TIMEVALUE(N5)+26/1440,1),"HH:MM")</f>
        <v/>
      </c>
      <c r="O17" s="15">
        <f>TEXT(MOD(TIMEVALUE(O5)+26/1440,1),"HH:MM")</f>
        <v/>
      </c>
      <c r="P17" s="15">
        <f>TEXT(MOD(TIMEVALUE(P5)+26/1440,1),"HH:MM")</f>
        <v/>
      </c>
      <c r="Q17" s="15">
        <f>TEXT(MOD(TIMEVALUE(Q5)+26/1440,1),"HH:MM")</f>
        <v/>
      </c>
      <c r="R17" s="15">
        <f>TEXT(MOD(TIMEVALUE(R5)+26/1440,1),"HH:MM")</f>
        <v/>
      </c>
      <c r="S17" s="15">
        <f>TEXT(MOD(TIMEVALUE(S5)+26/1440,1),"HH:MM")</f>
        <v/>
      </c>
      <c r="T17" s="15">
        <f>TEXT(MOD(TIMEVALUE(T5)+26/1440,1),"HH:MM")</f>
        <v/>
      </c>
      <c r="U17" s="15">
        <f>TEXT(MOD(TIMEVALUE(U5)+26/1440,1),"HH:MM")</f>
        <v/>
      </c>
      <c r="V17" s="15">
        <f>TEXT(MOD(TIMEVALUE(V5)+26/1440,1),"HH:MM")</f>
        <v/>
      </c>
      <c r="W17" s="15">
        <f>TEXT(MOD(TIMEVALUE(W5)+26/1440,1),"HH:MM")</f>
        <v/>
      </c>
      <c r="X17" s="15">
        <f>TEXT(MOD(TIMEVALUE(X5)+26/1440,1),"HH:MM")</f>
        <v/>
      </c>
      <c r="Y17" s="15">
        <f>TEXT(MOD(TIMEVALUE(Y5)+26/1440,1),"HH:MM")</f>
        <v/>
      </c>
      <c r="Z17" s="15">
        <f>TEXT(MOD(TIMEVALUE(Z5)+26/1440,1),"HH:MM")</f>
        <v/>
      </c>
      <c r="AA17" s="15">
        <f>TEXT(MOD(TIMEVALUE(AA5)+26/1440,1),"HH:MM")</f>
        <v/>
      </c>
      <c r="AB17" s="15">
        <f>TEXT(MOD(TIMEVALUE(AB5)+26/1440,1),"HH:MM")</f>
        <v/>
      </c>
      <c r="AC17" s="15">
        <f>TEXT(MOD(TIMEVALUE(AC5)+26/1440,1),"HH:MM")</f>
        <v/>
      </c>
      <c r="AD17" s="15">
        <f>TEXT(MOD(TIMEVALUE(AD5)+26/1440,1),"HH:MM")</f>
        <v/>
      </c>
      <c r="AE17" s="15">
        <f>TEXT(MOD(TIMEVALUE(AE5)+26/1440,1),"HH:MM")</f>
        <v/>
      </c>
      <c r="AF17" s="15">
        <f>TEXT(MOD(TIMEVALUE(AF5)+26/1440,1),"HH:MM")</f>
        <v/>
      </c>
      <c r="AG17" s="15">
        <f>TEXT(MOD(TIMEVALUE(AG5)+26/1440,1),"HH:MM")</f>
        <v/>
      </c>
      <c r="AH17" s="15">
        <f>TEXT(MOD(TIMEVALUE(AH5)+26/1440,1),"HH:MM")</f>
        <v/>
      </c>
      <c r="AI17" s="15">
        <f>TEXT(MOD(TIMEVALUE(AI5)+26/1440,1),"HH:MM")</f>
        <v/>
      </c>
      <c r="AJ17" s="15">
        <f>TEXT(MOD(TIMEVALUE(AJ5)+26/1440,1),"HH:MM")</f>
        <v/>
      </c>
      <c r="AK17" s="15">
        <f>TEXT(MOD(TIMEVALUE(AK5)+26/1440,1),"HH:MM")</f>
        <v/>
      </c>
      <c r="AL17" s="15">
        <f>TEXT(MOD(TIMEVALUE(AL5)+26/1440,1),"HH:MM")</f>
        <v/>
      </c>
      <c r="AM17" s="15">
        <f>TEXT(MOD(TIMEVALUE(AM5)+26/1440,1),"HH:MM")</f>
        <v/>
      </c>
      <c r="AN17" s="15">
        <f>TEXT(MOD(TIMEVALUE(AN5)+26/1440,1),"HH:MM")</f>
        <v/>
      </c>
      <c r="AO17" s="15">
        <f>TEXT(MOD(TIMEVALUE(AO5)+26/1440,1),"HH:MM")</f>
        <v/>
      </c>
      <c r="AP17" s="15">
        <f>TEXT(MOD(TIMEVALUE(AP5)+26/1440,1),"HH:MM")</f>
        <v/>
      </c>
      <c r="AQ17" s="15">
        <f>TEXT(MOD(TIMEVALUE(AQ5)+26/1440,1),"HH:MM")</f>
        <v/>
      </c>
      <c r="AR17" s="15">
        <f>TEXT(MOD(TIMEVALUE(AR5)+26/1440,1),"HH:MM")</f>
        <v/>
      </c>
      <c r="AS17" s="15">
        <f>TEXT(MOD(TIMEVALUE(AS5)+26/1440,1),"HH:MM")</f>
        <v/>
      </c>
      <c r="AT17" s="15">
        <f>TEXT(MOD(TIMEVALUE(AT5)+26/1440,1),"HH:MM")</f>
        <v/>
      </c>
      <c r="AU17" s="15">
        <f>TEXT(MOD(TIMEVALUE(AU5)+26/1440,1),"HH:MM")</f>
        <v/>
      </c>
      <c r="AV17" s="15">
        <f>TEXT(MOD(TIMEVALUE(AV5)+26/1440,1),"HH:MM")</f>
        <v/>
      </c>
      <c r="AW17" s="15">
        <f>TEXT(MOD(TIMEVALUE(AW5)+26/1440,1),"HH:MM")</f>
        <v/>
      </c>
      <c r="AX17" s="15">
        <f>TEXT(MOD(TIMEVALUE(AX5)+26/1440,1),"HH:MM")</f>
        <v/>
      </c>
      <c r="AY17" s="15">
        <f>TEXT(MOD(TIMEVALUE(AY5)+26/1440,1),"HH:MM")</f>
        <v/>
      </c>
      <c r="AZ17" s="15">
        <f>TEXT(MOD(TIMEVALUE(AZ5)+26/1440,1),"HH:MM")</f>
        <v/>
      </c>
      <c r="BA17" s="15">
        <f>TEXT(MOD(TIMEVALUE(BA5)+26/1440,1),"HH:MM")</f>
        <v/>
      </c>
      <c r="BB17" s="15">
        <f>TEXT(MOD(TIMEVALUE(BB5)+26/1440,1),"HH:MM")</f>
        <v/>
      </c>
      <c r="BC17" s="15">
        <f>TEXT(MOD(TIMEVALUE(BC5)+26/1440,1),"HH:MM")</f>
        <v/>
      </c>
      <c r="BD17" s="15">
        <f>TEXT(MOD(TIMEVALUE(BD5)+26/1440,1),"HH:MM")</f>
        <v/>
      </c>
      <c r="BE17" s="15">
        <f>TEXT(MOD(TIMEVALUE(BE5)+26/1440,1),"HH:MM")</f>
        <v/>
      </c>
      <c r="BF17" s="15">
        <f>TEXT(MOD(TIMEVALUE(BF5)+26/1440,1),"HH:MM")</f>
        <v/>
      </c>
      <c r="BG17" s="15">
        <f>TEXT(MOD(TIMEVALUE(BG5)+26/1440,1),"HH:MM")</f>
        <v/>
      </c>
      <c r="BH17" s="15">
        <f>TEXT(MOD(TIMEVALUE(BH5)+26/1440,1),"HH:MM")</f>
        <v/>
      </c>
      <c r="BI17" s="15">
        <f>TEXT(MOD(TIMEVALUE(BI5)+26/1440,1),"HH:MM")</f>
        <v/>
      </c>
      <c r="BJ17" s="15">
        <f>TEXT(MOD(TIMEVALUE(BJ5)+26/1440,1),"HH:MM")</f>
        <v/>
      </c>
      <c r="BK17" s="15">
        <f>TEXT(MOD(TIMEVALUE(BK5)+26/1440,1),"HH:MM")</f>
        <v/>
      </c>
      <c r="BL17" s="15">
        <f>TEXT(MOD(TIMEVALUE(BL5)+26/1440,1),"HH:MM")</f>
        <v/>
      </c>
      <c r="BM17" s="15">
        <f>TEXT(MOD(TIMEVALUE(BM5)+26/1440,1),"HH:MM")</f>
        <v/>
      </c>
      <c r="BN17" s="15">
        <f>TEXT(MOD(TIMEVALUE(BN5)+26/1440,1),"HH:MM")</f>
        <v/>
      </c>
      <c r="BO17" s="15">
        <f>TEXT(MOD(TIMEVALUE(BO5)+26/1440,1),"HH:MM")</f>
        <v/>
      </c>
      <c r="BP17" s="15">
        <f>TEXT(MOD(TIMEVALUE(BP5)+26/1440,1),"HH:MM")</f>
        <v/>
      </c>
      <c r="BQ17" s="15">
        <f>TEXT(MOD(TIMEVALUE(BQ5)+26/1440,1),"HH:MM")</f>
        <v/>
      </c>
      <c r="BR17" s="15">
        <f>TEXT(MOD(TIMEVALUE(BR5)+26/1440,1),"HH:MM")</f>
        <v/>
      </c>
      <c r="BS17" s="15">
        <f>TEXT(MOD(TIMEVALUE(BS5)+26/1440,1),"HH:MM")</f>
        <v/>
      </c>
      <c r="BT17" s="15">
        <f>TEXT(MOD(TIMEVALUE(BT5)+26/1440,1),"HH:MM")</f>
        <v/>
      </c>
      <c r="BU17" s="15">
        <f>TEXT(MOD(TIMEVALUE(BU5)+26/1440,1),"HH:MM")</f>
        <v/>
      </c>
      <c r="BV17" s="15">
        <f>TEXT(MOD(TIMEVALUE(BV5)+26/1440,1),"HH:MM")</f>
        <v/>
      </c>
      <c r="BW17" s="15">
        <f>TEXT(MOD(TIMEVALUE(BW5)+26/1440,1),"HH:MM")</f>
        <v/>
      </c>
      <c r="BX17" s="15">
        <f>TEXT(MOD(TIMEVALUE(BX5)+26/1440,1),"HH:MM")</f>
        <v/>
      </c>
      <c r="BY17" s="15">
        <f>TEXT(MOD(TIMEVALUE(BY5)+26/1440,1),"HH:MM")</f>
        <v/>
      </c>
      <c r="BZ17" s="15">
        <f>TEXT(MOD(TIMEVALUE(BZ5)+26/1440,1),"HH:MM")</f>
        <v/>
      </c>
      <c r="CA17" s="15">
        <f>TEXT(MOD(TIMEVALUE(CA5)+26/1440,1),"HH:MM")</f>
        <v/>
      </c>
      <c r="CB17" s="15">
        <f>TEXT(MOD(TIMEVALUE(CB5)+26/1440,1),"HH:MM")</f>
        <v/>
      </c>
      <c r="CC17" s="15">
        <f>TEXT(MOD(TIMEVALUE(CC5)+26/1440,1),"HH:MM")</f>
        <v/>
      </c>
      <c r="CD17" s="15">
        <f>TEXT(MOD(TIMEVALUE(CD5)+26/1440,1),"HH:MM")</f>
        <v/>
      </c>
      <c r="CE17" s="15">
        <f>TEXT(MOD(TIMEVALUE(CE5)+26/1440,1),"HH:MM")</f>
        <v/>
      </c>
      <c r="CF17" s="15">
        <f>TEXT(MOD(TIMEVALUE(CF5)+26/1440,1),"HH:MM")</f>
        <v/>
      </c>
      <c r="CG17" s="15">
        <f>TEXT(MOD(TIMEVALUE(CG5)+26/1440,1),"HH:MM")</f>
        <v/>
      </c>
      <c r="CH17" s="15">
        <f>TEXT(MOD(TIMEVALUE(CH5)+26/1440,1),"HH:MM")</f>
        <v/>
      </c>
      <c r="CI17" s="15">
        <f>TEXT(MOD(TIMEVALUE(CI5)+26/1440,1),"HH:MM")</f>
        <v/>
      </c>
      <c r="CJ17" s="15">
        <f>TEXT(MOD(TIMEVALUE(CJ5)+26/1440,1),"HH:MM")</f>
        <v/>
      </c>
      <c r="CK17" s="15">
        <f>TEXT(MOD(TIMEVALUE(CK5)+26/1440,1),"HH:MM")</f>
        <v/>
      </c>
      <c r="CL17" s="15">
        <f>TEXT(MOD(TIMEVALUE(CL5)+26/1440,1),"HH:MM")</f>
        <v/>
      </c>
      <c r="CM17" s="15">
        <f>TEXT(MOD(TIMEVALUE(CM5)+26/1440,1),"HH:MM")</f>
        <v/>
      </c>
      <c r="CN17" s="15">
        <f>TEXT(MOD(TIMEVALUE(CN5)+26/1440,1),"HH:MM")</f>
        <v/>
      </c>
      <c r="CO17" s="15">
        <f>TEXT(MOD(TIMEVALUE(CO5)+26/1440,1),"HH:MM")</f>
        <v/>
      </c>
    </row>
    <row r="18" ht="16.5" customHeight="1" s="26">
      <c r="A18" s="22" t="inlineStr">
        <is>
          <t>Jorge Newbery</t>
        </is>
      </c>
      <c r="B18" s="13">
        <f>TEXT(MOD(TIMEVALUE(B5)+28/1440,1),"HH:MM")</f>
        <v/>
      </c>
      <c r="C18" s="13">
        <f>TEXT(MOD(TIMEVALUE(C5)+28/1440,1),"HH:MM")</f>
        <v/>
      </c>
      <c r="D18" s="13">
        <f>TEXT(MOD(TIMEVALUE(D5)+28/1440,1),"HH:MM")</f>
        <v/>
      </c>
      <c r="E18" s="13">
        <f>TEXT(MOD(TIMEVALUE(E5)+28/1440,1),"HH:MM")</f>
        <v/>
      </c>
      <c r="F18" s="13">
        <f>TEXT(MOD(TIMEVALUE(F5)+28/1440,1),"HH:MM")</f>
        <v/>
      </c>
      <c r="G18" s="13">
        <f>TEXT(MOD(TIMEVALUE(G5)+28/1440,1),"HH:MM")</f>
        <v/>
      </c>
      <c r="H18" s="13">
        <f>TEXT(MOD(TIMEVALUE(H5)+28/1440,1),"HH:MM")</f>
        <v/>
      </c>
      <c r="I18" s="13">
        <f>TEXT(MOD(TIMEVALUE(I5)+28/1440,1),"HH:MM")</f>
        <v/>
      </c>
      <c r="J18" s="13">
        <f>TEXT(MOD(TIMEVALUE(J5)+28/1440,1),"HH:MM")</f>
        <v/>
      </c>
      <c r="K18" s="13">
        <f>TEXT(MOD(TIMEVALUE(K5)+28/1440,1),"HH:MM")</f>
        <v/>
      </c>
      <c r="L18" s="13">
        <f>TEXT(MOD(TIMEVALUE(L5)+28/1440,1),"HH:MM")</f>
        <v/>
      </c>
      <c r="M18" s="13">
        <f>TEXT(MOD(TIMEVALUE(M5)+28/1440,1),"HH:MM")</f>
        <v/>
      </c>
      <c r="N18" s="13">
        <f>TEXT(MOD(TIMEVALUE(N5)+28/1440,1),"HH:MM")</f>
        <v/>
      </c>
      <c r="O18" s="13">
        <f>TEXT(MOD(TIMEVALUE(O5)+28/1440,1),"HH:MM")</f>
        <v/>
      </c>
      <c r="P18" s="13">
        <f>TEXT(MOD(TIMEVALUE(P5)+28/1440,1),"HH:MM")</f>
        <v/>
      </c>
      <c r="Q18" s="13">
        <f>TEXT(MOD(TIMEVALUE(Q5)+28/1440,1),"HH:MM")</f>
        <v/>
      </c>
      <c r="R18" s="13">
        <f>TEXT(MOD(TIMEVALUE(R5)+28/1440,1),"HH:MM")</f>
        <v/>
      </c>
      <c r="S18" s="13">
        <f>TEXT(MOD(TIMEVALUE(S5)+28/1440,1),"HH:MM")</f>
        <v/>
      </c>
      <c r="T18" s="13">
        <f>TEXT(MOD(TIMEVALUE(T5)+28/1440,1),"HH:MM")</f>
        <v/>
      </c>
      <c r="U18" s="13">
        <f>TEXT(MOD(TIMEVALUE(U5)+28/1440,1),"HH:MM")</f>
        <v/>
      </c>
      <c r="V18" s="13">
        <f>TEXT(MOD(TIMEVALUE(V5)+28/1440,1),"HH:MM")</f>
        <v/>
      </c>
      <c r="W18" s="13">
        <f>TEXT(MOD(TIMEVALUE(W5)+28/1440,1),"HH:MM")</f>
        <v/>
      </c>
      <c r="X18" s="13">
        <f>TEXT(MOD(TIMEVALUE(X5)+28/1440,1),"HH:MM")</f>
        <v/>
      </c>
      <c r="Y18" s="13">
        <f>TEXT(MOD(TIMEVALUE(Y5)+28/1440,1),"HH:MM")</f>
        <v/>
      </c>
      <c r="Z18" s="13">
        <f>TEXT(MOD(TIMEVALUE(Z5)+28/1440,1),"HH:MM")</f>
        <v/>
      </c>
      <c r="AA18" s="13">
        <f>TEXT(MOD(TIMEVALUE(AA5)+28/1440,1),"HH:MM")</f>
        <v/>
      </c>
      <c r="AB18" s="13">
        <f>TEXT(MOD(TIMEVALUE(AB5)+28/1440,1),"HH:MM")</f>
        <v/>
      </c>
      <c r="AC18" s="13">
        <f>TEXT(MOD(TIMEVALUE(AC5)+28/1440,1),"HH:MM")</f>
        <v/>
      </c>
      <c r="AD18" s="13">
        <f>TEXT(MOD(TIMEVALUE(AD5)+28/1440,1),"HH:MM")</f>
        <v/>
      </c>
      <c r="AE18" s="13">
        <f>TEXT(MOD(TIMEVALUE(AE5)+28/1440,1),"HH:MM")</f>
        <v/>
      </c>
      <c r="AF18" s="13">
        <f>TEXT(MOD(TIMEVALUE(AF5)+28/1440,1),"HH:MM")</f>
        <v/>
      </c>
      <c r="AG18" s="13">
        <f>TEXT(MOD(TIMEVALUE(AG5)+28/1440,1),"HH:MM")</f>
        <v/>
      </c>
      <c r="AH18" s="13">
        <f>TEXT(MOD(TIMEVALUE(AH5)+28/1440,1),"HH:MM")</f>
        <v/>
      </c>
      <c r="AI18" s="13">
        <f>TEXT(MOD(TIMEVALUE(AI5)+28/1440,1),"HH:MM")</f>
        <v/>
      </c>
      <c r="AJ18" s="13">
        <f>TEXT(MOD(TIMEVALUE(AJ5)+28/1440,1),"HH:MM")</f>
        <v/>
      </c>
      <c r="AK18" s="13">
        <f>TEXT(MOD(TIMEVALUE(AK5)+28/1440,1),"HH:MM")</f>
        <v/>
      </c>
      <c r="AL18" s="13">
        <f>TEXT(MOD(TIMEVALUE(AL5)+28/1440,1),"HH:MM")</f>
        <v/>
      </c>
      <c r="AM18" s="13">
        <f>TEXT(MOD(TIMEVALUE(AM5)+28/1440,1),"HH:MM")</f>
        <v/>
      </c>
      <c r="AN18" s="13">
        <f>TEXT(MOD(TIMEVALUE(AN5)+28/1440,1),"HH:MM")</f>
        <v/>
      </c>
      <c r="AO18" s="13">
        <f>TEXT(MOD(TIMEVALUE(AO5)+28/1440,1),"HH:MM")</f>
        <v/>
      </c>
      <c r="AP18" s="13">
        <f>TEXT(MOD(TIMEVALUE(AP5)+28/1440,1),"HH:MM")</f>
        <v/>
      </c>
      <c r="AQ18" s="13">
        <f>TEXT(MOD(TIMEVALUE(AQ5)+28/1440,1),"HH:MM")</f>
        <v/>
      </c>
      <c r="AR18" s="13">
        <f>TEXT(MOD(TIMEVALUE(AR5)+28/1440,1),"HH:MM")</f>
        <v/>
      </c>
      <c r="AS18" s="13">
        <f>TEXT(MOD(TIMEVALUE(AS5)+28/1440,1),"HH:MM")</f>
        <v/>
      </c>
      <c r="AT18" s="13">
        <f>TEXT(MOD(TIMEVALUE(AT5)+28/1440,1),"HH:MM")</f>
        <v/>
      </c>
      <c r="AU18" s="13">
        <f>TEXT(MOD(TIMEVALUE(AU5)+28/1440,1),"HH:MM")</f>
        <v/>
      </c>
      <c r="AV18" s="13">
        <f>TEXT(MOD(TIMEVALUE(AV5)+28/1440,1),"HH:MM")</f>
        <v/>
      </c>
      <c r="AW18" s="13">
        <f>TEXT(MOD(TIMEVALUE(AW5)+28/1440,1),"HH:MM")</f>
        <v/>
      </c>
      <c r="AX18" s="13">
        <f>TEXT(MOD(TIMEVALUE(AX5)+28/1440,1),"HH:MM")</f>
        <v/>
      </c>
      <c r="AY18" s="13">
        <f>TEXT(MOD(TIMEVALUE(AY5)+28/1440,1),"HH:MM")</f>
        <v/>
      </c>
      <c r="AZ18" s="13">
        <f>TEXT(MOD(TIMEVALUE(AZ5)+28/1440,1),"HH:MM")</f>
        <v/>
      </c>
      <c r="BA18" s="13">
        <f>TEXT(MOD(TIMEVALUE(BA5)+28/1440,1),"HH:MM")</f>
        <v/>
      </c>
      <c r="BB18" s="13">
        <f>TEXT(MOD(TIMEVALUE(BB5)+28/1440,1),"HH:MM")</f>
        <v/>
      </c>
      <c r="BC18" s="13">
        <f>TEXT(MOD(TIMEVALUE(BC5)+28/1440,1),"HH:MM")</f>
        <v/>
      </c>
      <c r="BD18" s="13">
        <f>TEXT(MOD(TIMEVALUE(BD5)+28/1440,1),"HH:MM")</f>
        <v/>
      </c>
      <c r="BE18" s="13">
        <f>TEXT(MOD(TIMEVALUE(BE5)+28/1440,1),"HH:MM")</f>
        <v/>
      </c>
      <c r="BF18" s="13">
        <f>TEXT(MOD(TIMEVALUE(BF5)+28/1440,1),"HH:MM")</f>
        <v/>
      </c>
      <c r="BG18" s="13">
        <f>TEXT(MOD(TIMEVALUE(BG5)+28/1440,1),"HH:MM")</f>
        <v/>
      </c>
      <c r="BH18" s="13">
        <f>TEXT(MOD(TIMEVALUE(BH5)+28/1440,1),"HH:MM")</f>
        <v/>
      </c>
      <c r="BI18" s="13">
        <f>TEXT(MOD(TIMEVALUE(BI5)+28/1440,1),"HH:MM")</f>
        <v/>
      </c>
      <c r="BJ18" s="13">
        <f>TEXT(MOD(TIMEVALUE(BJ5)+28/1440,1),"HH:MM")</f>
        <v/>
      </c>
      <c r="BK18" s="13">
        <f>TEXT(MOD(TIMEVALUE(BK5)+28/1440,1),"HH:MM")</f>
        <v/>
      </c>
      <c r="BL18" s="13">
        <f>TEXT(MOD(TIMEVALUE(BL5)+28/1440,1),"HH:MM")</f>
        <v/>
      </c>
      <c r="BM18" s="13">
        <f>TEXT(MOD(TIMEVALUE(BM5)+28/1440,1),"HH:MM")</f>
        <v/>
      </c>
      <c r="BN18" s="13">
        <f>TEXT(MOD(TIMEVALUE(BN5)+28/1440,1),"HH:MM")</f>
        <v/>
      </c>
      <c r="BO18" s="13">
        <f>TEXT(MOD(TIMEVALUE(BO5)+28/1440,1),"HH:MM")</f>
        <v/>
      </c>
      <c r="BP18" s="13">
        <f>TEXT(MOD(TIMEVALUE(BP5)+28/1440,1),"HH:MM")</f>
        <v/>
      </c>
      <c r="BQ18" s="13">
        <f>TEXT(MOD(TIMEVALUE(BQ5)+28/1440,1),"HH:MM")</f>
        <v/>
      </c>
      <c r="BR18" s="13">
        <f>TEXT(MOD(TIMEVALUE(BR5)+28/1440,1),"HH:MM")</f>
        <v/>
      </c>
      <c r="BS18" s="13">
        <f>TEXT(MOD(TIMEVALUE(BS5)+28/1440,1),"HH:MM")</f>
        <v/>
      </c>
      <c r="BT18" s="13">
        <f>TEXT(MOD(TIMEVALUE(BT5)+28/1440,1),"HH:MM")</f>
        <v/>
      </c>
      <c r="BU18" s="13">
        <f>TEXT(MOD(TIMEVALUE(BU5)+28/1440,1),"HH:MM")</f>
        <v/>
      </c>
      <c r="BV18" s="13">
        <f>TEXT(MOD(TIMEVALUE(BV5)+28/1440,1),"HH:MM")</f>
        <v/>
      </c>
      <c r="BW18" s="13">
        <f>TEXT(MOD(TIMEVALUE(BW5)+28/1440,1),"HH:MM")</f>
        <v/>
      </c>
      <c r="BX18" s="13">
        <f>TEXT(MOD(TIMEVALUE(BX5)+28/1440,1),"HH:MM")</f>
        <v/>
      </c>
      <c r="BY18" s="13">
        <f>TEXT(MOD(TIMEVALUE(BY5)+28/1440,1),"HH:MM")</f>
        <v/>
      </c>
      <c r="BZ18" s="13">
        <f>TEXT(MOD(TIMEVALUE(BZ5)+28/1440,1),"HH:MM")</f>
        <v/>
      </c>
      <c r="CA18" s="13">
        <f>TEXT(MOD(TIMEVALUE(CA5)+28/1440,1),"HH:MM")</f>
        <v/>
      </c>
      <c r="CB18" s="13">
        <f>TEXT(MOD(TIMEVALUE(CB5)+28/1440,1),"HH:MM")</f>
        <v/>
      </c>
      <c r="CC18" s="13">
        <f>TEXT(MOD(TIMEVALUE(CC5)+28/1440,1),"HH:MM")</f>
        <v/>
      </c>
      <c r="CD18" s="13">
        <f>TEXT(MOD(TIMEVALUE(CD5)+28/1440,1),"HH:MM")</f>
        <v/>
      </c>
      <c r="CE18" s="13">
        <f>TEXT(MOD(TIMEVALUE(CE5)+28/1440,1),"HH:MM")</f>
        <v/>
      </c>
      <c r="CF18" s="13">
        <f>TEXT(MOD(TIMEVALUE(CF5)+28/1440,1),"HH:MM")</f>
        <v/>
      </c>
      <c r="CG18" s="13">
        <f>TEXT(MOD(TIMEVALUE(CG5)+28/1440,1),"HH:MM")</f>
        <v/>
      </c>
      <c r="CH18" s="13">
        <f>TEXT(MOD(TIMEVALUE(CH5)+28/1440,1),"HH:MM")</f>
        <v/>
      </c>
      <c r="CI18" s="13">
        <f>TEXT(MOD(TIMEVALUE(CI5)+28/1440,1),"HH:MM")</f>
        <v/>
      </c>
      <c r="CJ18" s="13">
        <f>TEXT(MOD(TIMEVALUE(CJ5)+28/1440,1),"HH:MM")</f>
        <v/>
      </c>
      <c r="CK18" s="13">
        <f>TEXT(MOD(TIMEVALUE(CK5)+28/1440,1),"HH:MM")</f>
        <v/>
      </c>
      <c r="CL18" s="13">
        <f>TEXT(MOD(TIMEVALUE(CL5)+28/1440,1),"HH:MM")</f>
        <v/>
      </c>
      <c r="CM18" s="13">
        <f>TEXT(MOD(TIMEVALUE(CM5)+28/1440,1),"HH:MM")</f>
        <v/>
      </c>
      <c r="CN18" s="13">
        <f>TEXT(MOD(TIMEVALUE(CN5)+28/1440,1),"HH:MM")</f>
        <v/>
      </c>
      <c r="CO18" s="13">
        <f>TEXT(MOD(TIMEVALUE(CO5)+28/1440,1),"HH:MM")</f>
        <v/>
      </c>
    </row>
    <row r="19" ht="16.5" customHeight="1" s="26">
      <c r="A19" s="23" t="inlineStr">
        <is>
          <t>Rubén Darío</t>
        </is>
      </c>
      <c r="B19" s="15">
        <f>TEXT(MOD(TIMEVALUE(B5)+29/1440,1),"HH:MM")</f>
        <v/>
      </c>
      <c r="C19" s="15">
        <f>TEXT(MOD(TIMEVALUE(C5)+29/1440,1),"HH:MM")</f>
        <v/>
      </c>
      <c r="D19" s="15">
        <f>TEXT(MOD(TIMEVALUE(D5)+29/1440,1),"HH:MM")</f>
        <v/>
      </c>
      <c r="E19" s="15">
        <f>TEXT(MOD(TIMEVALUE(E5)+29/1440,1),"HH:MM")</f>
        <v/>
      </c>
      <c r="F19" s="15">
        <f>TEXT(MOD(TIMEVALUE(F5)+29/1440,1),"HH:MM")</f>
        <v/>
      </c>
      <c r="G19" s="15">
        <f>TEXT(MOD(TIMEVALUE(G5)+29/1440,1),"HH:MM")</f>
        <v/>
      </c>
      <c r="H19" s="15">
        <f>TEXT(MOD(TIMEVALUE(H5)+29/1440,1),"HH:MM")</f>
        <v/>
      </c>
      <c r="I19" s="15">
        <f>TEXT(MOD(TIMEVALUE(I5)+29/1440,1),"HH:MM")</f>
        <v/>
      </c>
      <c r="J19" s="15">
        <f>TEXT(MOD(TIMEVALUE(J5)+29/1440,1),"HH:MM")</f>
        <v/>
      </c>
      <c r="K19" s="15">
        <f>TEXT(MOD(TIMEVALUE(K5)+29/1440,1),"HH:MM")</f>
        <v/>
      </c>
      <c r="L19" s="15">
        <f>TEXT(MOD(TIMEVALUE(L5)+29/1440,1),"HH:MM")</f>
        <v/>
      </c>
      <c r="M19" s="15">
        <f>TEXT(MOD(TIMEVALUE(M5)+29/1440,1),"HH:MM")</f>
        <v/>
      </c>
      <c r="N19" s="15">
        <f>TEXT(MOD(TIMEVALUE(N5)+29/1440,1),"HH:MM")</f>
        <v/>
      </c>
      <c r="O19" s="15">
        <f>TEXT(MOD(TIMEVALUE(O5)+29/1440,1),"HH:MM")</f>
        <v/>
      </c>
      <c r="P19" s="15">
        <f>TEXT(MOD(TIMEVALUE(P5)+29/1440,1),"HH:MM")</f>
        <v/>
      </c>
      <c r="Q19" s="15">
        <f>TEXT(MOD(TIMEVALUE(Q5)+29/1440,1),"HH:MM")</f>
        <v/>
      </c>
      <c r="R19" s="15">
        <f>TEXT(MOD(TIMEVALUE(R5)+29/1440,1),"HH:MM")</f>
        <v/>
      </c>
      <c r="S19" s="15">
        <f>TEXT(MOD(TIMEVALUE(S5)+29/1440,1),"HH:MM")</f>
        <v/>
      </c>
      <c r="T19" s="15">
        <f>TEXT(MOD(TIMEVALUE(T5)+29/1440,1),"HH:MM")</f>
        <v/>
      </c>
      <c r="U19" s="15">
        <f>TEXT(MOD(TIMEVALUE(U5)+29/1440,1),"HH:MM")</f>
        <v/>
      </c>
      <c r="V19" s="15">
        <f>TEXT(MOD(TIMEVALUE(V5)+29/1440,1),"HH:MM")</f>
        <v/>
      </c>
      <c r="W19" s="15">
        <f>TEXT(MOD(TIMEVALUE(W5)+29/1440,1),"HH:MM")</f>
        <v/>
      </c>
      <c r="X19" s="15">
        <f>TEXT(MOD(TIMEVALUE(X5)+29/1440,1),"HH:MM")</f>
        <v/>
      </c>
      <c r="Y19" s="15">
        <f>TEXT(MOD(TIMEVALUE(Y5)+29/1440,1),"HH:MM")</f>
        <v/>
      </c>
      <c r="Z19" s="15">
        <f>TEXT(MOD(TIMEVALUE(Z5)+29/1440,1),"HH:MM")</f>
        <v/>
      </c>
      <c r="AA19" s="15">
        <f>TEXT(MOD(TIMEVALUE(AA5)+29/1440,1),"HH:MM")</f>
        <v/>
      </c>
      <c r="AB19" s="15">
        <f>TEXT(MOD(TIMEVALUE(AB5)+29/1440,1),"HH:MM")</f>
        <v/>
      </c>
      <c r="AC19" s="15">
        <f>TEXT(MOD(TIMEVALUE(AC5)+29/1440,1),"HH:MM")</f>
        <v/>
      </c>
      <c r="AD19" s="15">
        <f>TEXT(MOD(TIMEVALUE(AD5)+29/1440,1),"HH:MM")</f>
        <v/>
      </c>
      <c r="AE19" s="15">
        <f>TEXT(MOD(TIMEVALUE(AE5)+29/1440,1),"HH:MM")</f>
        <v/>
      </c>
      <c r="AF19" s="15">
        <f>TEXT(MOD(TIMEVALUE(AF5)+29/1440,1),"HH:MM")</f>
        <v/>
      </c>
      <c r="AG19" s="15">
        <f>TEXT(MOD(TIMEVALUE(AG5)+29/1440,1),"HH:MM")</f>
        <v/>
      </c>
      <c r="AH19" s="15">
        <f>TEXT(MOD(TIMEVALUE(AH5)+29/1440,1),"HH:MM")</f>
        <v/>
      </c>
      <c r="AI19" s="15">
        <f>TEXT(MOD(TIMEVALUE(AI5)+29/1440,1),"HH:MM")</f>
        <v/>
      </c>
      <c r="AJ19" s="15">
        <f>TEXT(MOD(TIMEVALUE(AJ5)+29/1440,1),"HH:MM")</f>
        <v/>
      </c>
      <c r="AK19" s="15">
        <f>TEXT(MOD(TIMEVALUE(AK5)+29/1440,1),"HH:MM")</f>
        <v/>
      </c>
      <c r="AL19" s="15">
        <f>TEXT(MOD(TIMEVALUE(AL5)+29/1440,1),"HH:MM")</f>
        <v/>
      </c>
      <c r="AM19" s="15">
        <f>TEXT(MOD(TIMEVALUE(AM5)+29/1440,1),"HH:MM")</f>
        <v/>
      </c>
      <c r="AN19" s="15">
        <f>TEXT(MOD(TIMEVALUE(AN5)+29/1440,1),"HH:MM")</f>
        <v/>
      </c>
      <c r="AO19" s="15">
        <f>TEXT(MOD(TIMEVALUE(AO5)+29/1440,1),"HH:MM")</f>
        <v/>
      </c>
      <c r="AP19" s="15">
        <f>TEXT(MOD(TIMEVALUE(AP5)+29/1440,1),"HH:MM")</f>
        <v/>
      </c>
      <c r="AQ19" s="15">
        <f>TEXT(MOD(TIMEVALUE(AQ5)+29/1440,1),"HH:MM")</f>
        <v/>
      </c>
      <c r="AR19" s="15">
        <f>TEXT(MOD(TIMEVALUE(AR5)+29/1440,1),"HH:MM")</f>
        <v/>
      </c>
      <c r="AS19" s="15">
        <f>TEXT(MOD(TIMEVALUE(AS5)+29/1440,1),"HH:MM")</f>
        <v/>
      </c>
      <c r="AT19" s="15">
        <f>TEXT(MOD(TIMEVALUE(AT5)+29/1440,1),"HH:MM")</f>
        <v/>
      </c>
      <c r="AU19" s="15">
        <f>TEXT(MOD(TIMEVALUE(AU5)+29/1440,1),"HH:MM")</f>
        <v/>
      </c>
      <c r="AV19" s="15">
        <f>TEXT(MOD(TIMEVALUE(AV5)+29/1440,1),"HH:MM")</f>
        <v/>
      </c>
      <c r="AW19" s="15">
        <f>TEXT(MOD(TIMEVALUE(AW5)+29/1440,1),"HH:MM")</f>
        <v/>
      </c>
      <c r="AX19" s="15">
        <f>TEXT(MOD(TIMEVALUE(AX5)+29/1440,1),"HH:MM")</f>
        <v/>
      </c>
      <c r="AY19" s="15">
        <f>TEXT(MOD(TIMEVALUE(AY5)+29/1440,1),"HH:MM")</f>
        <v/>
      </c>
      <c r="AZ19" s="15">
        <f>TEXT(MOD(TIMEVALUE(AZ5)+29/1440,1),"HH:MM")</f>
        <v/>
      </c>
      <c r="BA19" s="15">
        <f>TEXT(MOD(TIMEVALUE(BA5)+29/1440,1),"HH:MM")</f>
        <v/>
      </c>
      <c r="BB19" s="15">
        <f>TEXT(MOD(TIMEVALUE(BB5)+29/1440,1),"HH:MM")</f>
        <v/>
      </c>
      <c r="BC19" s="15">
        <f>TEXT(MOD(TIMEVALUE(BC5)+29/1440,1),"HH:MM")</f>
        <v/>
      </c>
      <c r="BD19" s="15">
        <f>TEXT(MOD(TIMEVALUE(BD5)+29/1440,1),"HH:MM")</f>
        <v/>
      </c>
      <c r="BE19" s="15">
        <f>TEXT(MOD(TIMEVALUE(BE5)+29/1440,1),"HH:MM")</f>
        <v/>
      </c>
      <c r="BF19" s="15">
        <f>TEXT(MOD(TIMEVALUE(BF5)+29/1440,1),"HH:MM")</f>
        <v/>
      </c>
      <c r="BG19" s="15">
        <f>TEXT(MOD(TIMEVALUE(BG5)+29/1440,1),"HH:MM")</f>
        <v/>
      </c>
      <c r="BH19" s="15">
        <f>TEXT(MOD(TIMEVALUE(BH5)+29/1440,1),"HH:MM")</f>
        <v/>
      </c>
      <c r="BI19" s="15">
        <f>TEXT(MOD(TIMEVALUE(BI5)+29/1440,1),"HH:MM")</f>
        <v/>
      </c>
      <c r="BJ19" s="15">
        <f>TEXT(MOD(TIMEVALUE(BJ5)+29/1440,1),"HH:MM")</f>
        <v/>
      </c>
      <c r="BK19" s="15">
        <f>TEXT(MOD(TIMEVALUE(BK5)+29/1440,1),"HH:MM")</f>
        <v/>
      </c>
      <c r="BL19" s="15">
        <f>TEXT(MOD(TIMEVALUE(BL5)+29/1440,1),"HH:MM")</f>
        <v/>
      </c>
      <c r="BM19" s="15">
        <f>TEXT(MOD(TIMEVALUE(BM5)+29/1440,1),"HH:MM")</f>
        <v/>
      </c>
      <c r="BN19" s="15">
        <f>TEXT(MOD(TIMEVALUE(BN5)+29/1440,1),"HH:MM")</f>
        <v/>
      </c>
      <c r="BO19" s="15">
        <f>TEXT(MOD(TIMEVALUE(BO5)+29/1440,1),"HH:MM")</f>
        <v/>
      </c>
      <c r="BP19" s="15">
        <f>TEXT(MOD(TIMEVALUE(BP5)+29/1440,1),"HH:MM")</f>
        <v/>
      </c>
      <c r="BQ19" s="15">
        <f>TEXT(MOD(TIMEVALUE(BQ5)+29/1440,1),"HH:MM")</f>
        <v/>
      </c>
      <c r="BR19" s="15">
        <f>TEXT(MOD(TIMEVALUE(BR5)+29/1440,1),"HH:MM")</f>
        <v/>
      </c>
      <c r="BS19" s="15">
        <f>TEXT(MOD(TIMEVALUE(BS5)+29/1440,1),"HH:MM")</f>
        <v/>
      </c>
      <c r="BT19" s="15">
        <f>TEXT(MOD(TIMEVALUE(BT5)+29/1440,1),"HH:MM")</f>
        <v/>
      </c>
      <c r="BU19" s="15">
        <f>TEXT(MOD(TIMEVALUE(BU5)+29/1440,1),"HH:MM")</f>
        <v/>
      </c>
      <c r="BV19" s="15">
        <f>TEXT(MOD(TIMEVALUE(BV5)+29/1440,1),"HH:MM")</f>
        <v/>
      </c>
      <c r="BW19" s="15">
        <f>TEXT(MOD(TIMEVALUE(BW5)+29/1440,1),"HH:MM")</f>
        <v/>
      </c>
      <c r="BX19" s="15">
        <f>TEXT(MOD(TIMEVALUE(BX5)+29/1440,1),"HH:MM")</f>
        <v/>
      </c>
      <c r="BY19" s="15">
        <f>TEXT(MOD(TIMEVALUE(BY5)+29/1440,1),"HH:MM")</f>
        <v/>
      </c>
      <c r="BZ19" s="15">
        <f>TEXT(MOD(TIMEVALUE(BZ5)+29/1440,1),"HH:MM")</f>
        <v/>
      </c>
      <c r="CA19" s="15">
        <f>TEXT(MOD(TIMEVALUE(CA5)+29/1440,1),"HH:MM")</f>
        <v/>
      </c>
      <c r="CB19" s="15">
        <f>TEXT(MOD(TIMEVALUE(CB5)+29/1440,1),"HH:MM")</f>
        <v/>
      </c>
      <c r="CC19" s="15">
        <f>TEXT(MOD(TIMEVALUE(CC5)+29/1440,1),"HH:MM")</f>
        <v/>
      </c>
      <c r="CD19" s="15">
        <f>TEXT(MOD(TIMEVALUE(CD5)+29/1440,1),"HH:MM")</f>
        <v/>
      </c>
      <c r="CE19" s="15">
        <f>TEXT(MOD(TIMEVALUE(CE5)+29/1440,1),"HH:MM")</f>
        <v/>
      </c>
      <c r="CF19" s="15">
        <f>TEXT(MOD(TIMEVALUE(CF5)+29/1440,1),"HH:MM")</f>
        <v/>
      </c>
      <c r="CG19" s="15">
        <f>TEXT(MOD(TIMEVALUE(CG5)+29/1440,1),"HH:MM")</f>
        <v/>
      </c>
      <c r="CH19" s="15">
        <f>TEXT(MOD(TIMEVALUE(CH5)+29/1440,1),"HH:MM")</f>
        <v/>
      </c>
      <c r="CI19" s="15">
        <f>TEXT(MOD(TIMEVALUE(CI5)+29/1440,1),"HH:MM")</f>
        <v/>
      </c>
      <c r="CJ19" s="15">
        <f>TEXT(MOD(TIMEVALUE(CJ5)+29/1440,1),"HH:MM")</f>
        <v/>
      </c>
      <c r="CK19" s="15">
        <f>TEXT(MOD(TIMEVALUE(CK5)+29/1440,1),"HH:MM")</f>
        <v/>
      </c>
      <c r="CL19" s="15">
        <f>TEXT(MOD(TIMEVALUE(CL5)+29/1440,1),"HH:MM")</f>
        <v/>
      </c>
      <c r="CM19" s="15">
        <f>TEXT(MOD(TIMEVALUE(CM5)+29/1440,1),"HH:MM")</f>
        <v/>
      </c>
      <c r="CN19" s="15">
        <f>TEXT(MOD(TIMEVALUE(CN5)+29/1440,1),"HH:MM")</f>
        <v/>
      </c>
      <c r="CO19" s="15">
        <f>TEXT(MOD(TIMEVALUE(CO5)+29/1440,1),"HH:MM")</f>
        <v/>
      </c>
    </row>
    <row r="20" ht="16.5" customHeight="1" s="26">
      <c r="A20" s="22" t="inlineStr">
        <is>
          <t>Ejército de los Andes</t>
        </is>
      </c>
      <c r="B20" s="13">
        <f>TEXT(MOD(TIMEVALUE(B5)+33/1440,1),"HH:MM")</f>
        <v/>
      </c>
      <c r="C20" s="13">
        <f>TEXT(MOD(TIMEVALUE(C5)+33/1440,1),"HH:MM")</f>
        <v/>
      </c>
      <c r="D20" s="13">
        <f>TEXT(MOD(TIMEVALUE(D5)+33/1440,1),"HH:MM")</f>
        <v/>
      </c>
      <c r="E20" s="13">
        <f>TEXT(MOD(TIMEVALUE(E5)+33/1440,1),"HH:MM")</f>
        <v/>
      </c>
      <c r="F20" s="13">
        <f>TEXT(MOD(TIMEVALUE(F5)+33/1440,1),"HH:MM")</f>
        <v/>
      </c>
      <c r="G20" s="13">
        <f>TEXT(MOD(TIMEVALUE(G5)+33/1440,1),"HH:MM")</f>
        <v/>
      </c>
      <c r="H20" s="13">
        <f>TEXT(MOD(TIMEVALUE(H5)+33/1440,1),"HH:MM")</f>
        <v/>
      </c>
      <c r="I20" s="13">
        <f>TEXT(MOD(TIMEVALUE(I5)+33/1440,1),"HH:MM")</f>
        <v/>
      </c>
      <c r="J20" s="13">
        <f>TEXT(MOD(TIMEVALUE(J5)+33/1440,1),"HH:MM")</f>
        <v/>
      </c>
      <c r="K20" s="13">
        <f>TEXT(MOD(TIMEVALUE(K5)+33/1440,1),"HH:MM")</f>
        <v/>
      </c>
      <c r="L20" s="13">
        <f>TEXT(MOD(TIMEVALUE(L5)+33/1440,1),"HH:MM")</f>
        <v/>
      </c>
      <c r="M20" s="13">
        <f>TEXT(MOD(TIMEVALUE(M5)+33/1440,1),"HH:MM")</f>
        <v/>
      </c>
      <c r="N20" s="13">
        <f>TEXT(MOD(TIMEVALUE(N5)+33/1440,1),"HH:MM")</f>
        <v/>
      </c>
      <c r="O20" s="13">
        <f>TEXT(MOD(TIMEVALUE(O5)+33/1440,1),"HH:MM")</f>
        <v/>
      </c>
      <c r="P20" s="13">
        <f>TEXT(MOD(TIMEVALUE(P5)+33/1440,1),"HH:MM")</f>
        <v/>
      </c>
      <c r="Q20" s="13">
        <f>TEXT(MOD(TIMEVALUE(Q5)+33/1440,1),"HH:MM")</f>
        <v/>
      </c>
      <c r="R20" s="13">
        <f>TEXT(MOD(TIMEVALUE(R5)+33/1440,1),"HH:MM")</f>
        <v/>
      </c>
      <c r="S20" s="13">
        <f>TEXT(MOD(TIMEVALUE(S5)+33/1440,1),"HH:MM")</f>
        <v/>
      </c>
      <c r="T20" s="13">
        <f>TEXT(MOD(TIMEVALUE(T5)+33/1440,1),"HH:MM")</f>
        <v/>
      </c>
      <c r="U20" s="13">
        <f>TEXT(MOD(TIMEVALUE(U5)+33/1440,1),"HH:MM")</f>
        <v/>
      </c>
      <c r="V20" s="13">
        <f>TEXT(MOD(TIMEVALUE(V5)+33/1440,1),"HH:MM")</f>
        <v/>
      </c>
      <c r="W20" s="13">
        <f>TEXT(MOD(TIMEVALUE(W5)+33/1440,1),"HH:MM")</f>
        <v/>
      </c>
      <c r="X20" s="13">
        <f>TEXT(MOD(TIMEVALUE(X5)+33/1440,1),"HH:MM")</f>
        <v/>
      </c>
      <c r="Y20" s="13">
        <f>TEXT(MOD(TIMEVALUE(Y5)+33/1440,1),"HH:MM")</f>
        <v/>
      </c>
      <c r="Z20" s="13">
        <f>TEXT(MOD(TIMEVALUE(Z5)+33/1440,1),"HH:MM")</f>
        <v/>
      </c>
      <c r="AA20" s="13">
        <f>TEXT(MOD(TIMEVALUE(AA5)+33/1440,1),"HH:MM")</f>
        <v/>
      </c>
      <c r="AB20" s="13">
        <f>TEXT(MOD(TIMEVALUE(AB5)+33/1440,1),"HH:MM")</f>
        <v/>
      </c>
      <c r="AC20" s="13">
        <f>TEXT(MOD(TIMEVALUE(AC5)+33/1440,1),"HH:MM")</f>
        <v/>
      </c>
      <c r="AD20" s="13">
        <f>TEXT(MOD(TIMEVALUE(AD5)+33/1440,1),"HH:MM")</f>
        <v/>
      </c>
      <c r="AE20" s="13">
        <f>TEXT(MOD(TIMEVALUE(AE5)+33/1440,1),"HH:MM")</f>
        <v/>
      </c>
      <c r="AF20" s="13">
        <f>TEXT(MOD(TIMEVALUE(AF5)+33/1440,1),"HH:MM")</f>
        <v/>
      </c>
      <c r="AG20" s="13">
        <f>TEXT(MOD(TIMEVALUE(AG5)+33/1440,1),"HH:MM")</f>
        <v/>
      </c>
      <c r="AH20" s="13">
        <f>TEXT(MOD(TIMEVALUE(AH5)+33/1440,1),"HH:MM")</f>
        <v/>
      </c>
      <c r="AI20" s="13">
        <f>TEXT(MOD(TIMEVALUE(AI5)+33/1440,1),"HH:MM")</f>
        <v/>
      </c>
      <c r="AJ20" s="13">
        <f>TEXT(MOD(TIMEVALUE(AJ5)+33/1440,1),"HH:MM")</f>
        <v/>
      </c>
      <c r="AK20" s="13">
        <f>TEXT(MOD(TIMEVALUE(AK5)+33/1440,1),"HH:MM")</f>
        <v/>
      </c>
      <c r="AL20" s="13">
        <f>TEXT(MOD(TIMEVALUE(AL5)+33/1440,1),"HH:MM")</f>
        <v/>
      </c>
      <c r="AM20" s="13">
        <f>TEXT(MOD(TIMEVALUE(AM5)+33/1440,1),"HH:MM")</f>
        <v/>
      </c>
      <c r="AN20" s="13">
        <f>TEXT(MOD(TIMEVALUE(AN5)+33/1440,1),"HH:MM")</f>
        <v/>
      </c>
      <c r="AO20" s="13">
        <f>TEXT(MOD(TIMEVALUE(AO5)+33/1440,1),"HH:MM")</f>
        <v/>
      </c>
      <c r="AP20" s="13">
        <f>TEXT(MOD(TIMEVALUE(AP5)+33/1440,1),"HH:MM")</f>
        <v/>
      </c>
      <c r="AQ20" s="13">
        <f>TEXT(MOD(TIMEVALUE(AQ5)+33/1440,1),"HH:MM")</f>
        <v/>
      </c>
      <c r="AR20" s="13">
        <f>TEXT(MOD(TIMEVALUE(AR5)+33/1440,1),"HH:MM")</f>
        <v/>
      </c>
      <c r="AS20" s="13">
        <f>TEXT(MOD(TIMEVALUE(AS5)+33/1440,1),"HH:MM")</f>
        <v/>
      </c>
      <c r="AT20" s="13">
        <f>TEXT(MOD(TIMEVALUE(AT5)+33/1440,1),"HH:MM")</f>
        <v/>
      </c>
      <c r="AU20" s="13">
        <f>TEXT(MOD(TIMEVALUE(AU5)+33/1440,1),"HH:MM")</f>
        <v/>
      </c>
      <c r="AV20" s="13">
        <f>TEXT(MOD(TIMEVALUE(AV5)+33/1440,1),"HH:MM")</f>
        <v/>
      </c>
      <c r="AW20" s="13">
        <f>TEXT(MOD(TIMEVALUE(AW5)+33/1440,1),"HH:MM")</f>
        <v/>
      </c>
      <c r="AX20" s="13">
        <f>TEXT(MOD(TIMEVALUE(AX5)+33/1440,1),"HH:MM")</f>
        <v/>
      </c>
      <c r="AY20" s="13">
        <f>TEXT(MOD(TIMEVALUE(AY5)+33/1440,1),"HH:MM")</f>
        <v/>
      </c>
      <c r="AZ20" s="13">
        <f>TEXT(MOD(TIMEVALUE(AZ5)+33/1440,1),"HH:MM")</f>
        <v/>
      </c>
      <c r="BA20" s="13">
        <f>TEXT(MOD(TIMEVALUE(BA5)+33/1440,1),"HH:MM")</f>
        <v/>
      </c>
      <c r="BB20" s="13">
        <f>TEXT(MOD(TIMEVALUE(BB5)+33/1440,1),"HH:MM")</f>
        <v/>
      </c>
      <c r="BC20" s="13">
        <f>TEXT(MOD(TIMEVALUE(BC5)+33/1440,1),"HH:MM")</f>
        <v/>
      </c>
      <c r="BD20" s="13">
        <f>TEXT(MOD(TIMEVALUE(BD5)+33/1440,1),"HH:MM")</f>
        <v/>
      </c>
      <c r="BE20" s="13">
        <f>TEXT(MOD(TIMEVALUE(BE5)+33/1440,1),"HH:MM")</f>
        <v/>
      </c>
      <c r="BF20" s="13">
        <f>TEXT(MOD(TIMEVALUE(BF5)+33/1440,1),"HH:MM")</f>
        <v/>
      </c>
      <c r="BG20" s="13">
        <f>TEXT(MOD(TIMEVALUE(BG5)+33/1440,1),"HH:MM")</f>
        <v/>
      </c>
      <c r="BH20" s="13">
        <f>TEXT(MOD(TIMEVALUE(BH5)+33/1440,1),"HH:MM")</f>
        <v/>
      </c>
      <c r="BI20" s="13">
        <f>TEXT(MOD(TIMEVALUE(BI5)+33/1440,1),"HH:MM")</f>
        <v/>
      </c>
      <c r="BJ20" s="13">
        <f>TEXT(MOD(TIMEVALUE(BJ5)+33/1440,1),"HH:MM")</f>
        <v/>
      </c>
      <c r="BK20" s="13">
        <f>TEXT(MOD(TIMEVALUE(BK5)+33/1440,1),"HH:MM")</f>
        <v/>
      </c>
      <c r="BL20" s="13">
        <f>TEXT(MOD(TIMEVALUE(BL5)+33/1440,1),"HH:MM")</f>
        <v/>
      </c>
      <c r="BM20" s="13">
        <f>TEXT(MOD(TIMEVALUE(BM5)+33/1440,1),"HH:MM")</f>
        <v/>
      </c>
      <c r="BN20" s="13">
        <f>TEXT(MOD(TIMEVALUE(BN5)+33/1440,1),"HH:MM")</f>
        <v/>
      </c>
      <c r="BO20" s="13">
        <f>TEXT(MOD(TIMEVALUE(BO5)+33/1440,1),"HH:MM")</f>
        <v/>
      </c>
      <c r="BP20" s="13">
        <f>TEXT(MOD(TIMEVALUE(BP5)+33/1440,1),"HH:MM")</f>
        <v/>
      </c>
      <c r="BQ20" s="13">
        <f>TEXT(MOD(TIMEVALUE(BQ5)+33/1440,1),"HH:MM")</f>
        <v/>
      </c>
      <c r="BR20" s="13">
        <f>TEXT(MOD(TIMEVALUE(BR5)+33/1440,1),"HH:MM")</f>
        <v/>
      </c>
      <c r="BS20" s="13">
        <f>TEXT(MOD(TIMEVALUE(BS5)+33/1440,1),"HH:MM")</f>
        <v/>
      </c>
      <c r="BT20" s="13">
        <f>TEXT(MOD(TIMEVALUE(BT5)+33/1440,1),"HH:MM")</f>
        <v/>
      </c>
      <c r="BU20" s="13">
        <f>TEXT(MOD(TIMEVALUE(BU5)+33/1440,1),"HH:MM")</f>
        <v/>
      </c>
      <c r="BV20" s="13">
        <f>TEXT(MOD(TIMEVALUE(BV5)+33/1440,1),"HH:MM")</f>
        <v/>
      </c>
      <c r="BW20" s="13">
        <f>TEXT(MOD(TIMEVALUE(BW5)+33/1440,1),"HH:MM")</f>
        <v/>
      </c>
      <c r="BX20" s="13">
        <f>TEXT(MOD(TIMEVALUE(BX5)+33/1440,1),"HH:MM")</f>
        <v/>
      </c>
      <c r="BY20" s="13">
        <f>TEXT(MOD(TIMEVALUE(BY5)+33/1440,1),"HH:MM")</f>
        <v/>
      </c>
      <c r="BZ20" s="13">
        <f>TEXT(MOD(TIMEVALUE(BZ5)+33/1440,1),"HH:MM")</f>
        <v/>
      </c>
      <c r="CA20" s="13">
        <f>TEXT(MOD(TIMEVALUE(CA5)+33/1440,1),"HH:MM")</f>
        <v/>
      </c>
      <c r="CB20" s="13">
        <f>TEXT(MOD(TIMEVALUE(CB5)+33/1440,1),"HH:MM")</f>
        <v/>
      </c>
      <c r="CC20" s="13">
        <f>TEXT(MOD(TIMEVALUE(CC5)+33/1440,1),"HH:MM")</f>
        <v/>
      </c>
      <c r="CD20" s="13">
        <f>TEXT(MOD(TIMEVALUE(CD5)+33/1440,1),"HH:MM")</f>
        <v/>
      </c>
      <c r="CE20" s="13">
        <f>TEXT(MOD(TIMEVALUE(CE5)+33/1440,1),"HH:MM")</f>
        <v/>
      </c>
      <c r="CF20" s="13">
        <f>TEXT(MOD(TIMEVALUE(CF5)+33/1440,1),"HH:MM")</f>
        <v/>
      </c>
      <c r="CG20" s="13">
        <f>TEXT(MOD(TIMEVALUE(CG5)+33/1440,1),"HH:MM")</f>
        <v/>
      </c>
      <c r="CH20" s="13">
        <f>TEXT(MOD(TIMEVALUE(CH5)+33/1440,1),"HH:MM")</f>
        <v/>
      </c>
      <c r="CI20" s="13">
        <f>TEXT(MOD(TIMEVALUE(CI5)+33/1440,1),"HH:MM")</f>
        <v/>
      </c>
      <c r="CJ20" s="13">
        <f>TEXT(MOD(TIMEVALUE(CJ5)+33/1440,1),"HH:MM")</f>
        <v/>
      </c>
      <c r="CK20" s="13">
        <f>TEXT(MOD(TIMEVALUE(CK5)+33/1440,1),"HH:MM")</f>
        <v/>
      </c>
      <c r="CL20" s="13">
        <f>TEXT(MOD(TIMEVALUE(CL5)+33/1440,1),"HH:MM")</f>
        <v/>
      </c>
      <c r="CM20" s="13">
        <f>TEXT(MOD(TIMEVALUE(CM5)+33/1440,1),"HH:MM")</f>
        <v/>
      </c>
      <c r="CN20" s="13">
        <f>TEXT(MOD(TIMEVALUE(CN5)+33/1440,1),"HH:MM")</f>
        <v/>
      </c>
      <c r="CO20" s="13">
        <f>TEXT(MOD(TIMEVALUE(CO5)+33/1440,1),"HH:MM")</f>
        <v/>
      </c>
    </row>
    <row r="21" ht="16.5" customHeight="1" s="26">
      <c r="A21" s="23" t="inlineStr">
        <is>
          <t>Juan E. de la Salle</t>
        </is>
      </c>
      <c r="B21" s="15">
        <f>TEXT(MOD(TIMEVALUE(B5)+34/1440,1),"HH:MM")</f>
        <v/>
      </c>
      <c r="C21" s="15">
        <f>TEXT(MOD(TIMEVALUE(C5)+34/1440,1),"HH:MM")</f>
        <v/>
      </c>
      <c r="D21" s="15">
        <f>TEXT(MOD(TIMEVALUE(D5)+34/1440,1),"HH:MM")</f>
        <v/>
      </c>
      <c r="E21" s="15">
        <f>TEXT(MOD(TIMEVALUE(E5)+34/1440,1),"HH:MM")</f>
        <v/>
      </c>
      <c r="F21" s="15">
        <f>TEXT(MOD(TIMEVALUE(F5)+34/1440,1),"HH:MM")</f>
        <v/>
      </c>
      <c r="G21" s="15">
        <f>TEXT(MOD(TIMEVALUE(G5)+34/1440,1),"HH:MM")</f>
        <v/>
      </c>
      <c r="H21" s="15">
        <f>TEXT(MOD(TIMEVALUE(H5)+34/1440,1),"HH:MM")</f>
        <v/>
      </c>
      <c r="I21" s="15">
        <f>TEXT(MOD(TIMEVALUE(I5)+34/1440,1),"HH:MM")</f>
        <v/>
      </c>
      <c r="J21" s="15">
        <f>TEXT(MOD(TIMEVALUE(J5)+34/1440,1),"HH:MM")</f>
        <v/>
      </c>
      <c r="K21" s="15">
        <f>TEXT(MOD(TIMEVALUE(K5)+34/1440,1),"HH:MM")</f>
        <v/>
      </c>
      <c r="L21" s="15">
        <f>TEXT(MOD(TIMEVALUE(L5)+34/1440,1),"HH:MM")</f>
        <v/>
      </c>
      <c r="M21" s="15">
        <f>TEXT(MOD(TIMEVALUE(M5)+34/1440,1),"HH:MM")</f>
        <v/>
      </c>
      <c r="N21" s="15">
        <f>TEXT(MOD(TIMEVALUE(N5)+34/1440,1),"HH:MM")</f>
        <v/>
      </c>
      <c r="O21" s="15">
        <f>TEXT(MOD(TIMEVALUE(O5)+34/1440,1),"HH:MM")</f>
        <v/>
      </c>
      <c r="P21" s="15">
        <f>TEXT(MOD(TIMEVALUE(P5)+34/1440,1),"HH:MM")</f>
        <v/>
      </c>
      <c r="Q21" s="15">
        <f>TEXT(MOD(TIMEVALUE(Q5)+34/1440,1),"HH:MM")</f>
        <v/>
      </c>
      <c r="R21" s="15">
        <f>TEXT(MOD(TIMEVALUE(R5)+34/1440,1),"HH:MM")</f>
        <v/>
      </c>
      <c r="S21" s="15">
        <f>TEXT(MOD(TIMEVALUE(S5)+34/1440,1),"HH:MM")</f>
        <v/>
      </c>
      <c r="T21" s="15">
        <f>TEXT(MOD(TIMEVALUE(T5)+34/1440,1),"HH:MM")</f>
        <v/>
      </c>
      <c r="U21" s="15">
        <f>TEXT(MOD(TIMEVALUE(U5)+34/1440,1),"HH:MM")</f>
        <v/>
      </c>
      <c r="V21" s="15">
        <f>TEXT(MOD(TIMEVALUE(V5)+34/1440,1),"HH:MM")</f>
        <v/>
      </c>
      <c r="W21" s="15">
        <f>TEXT(MOD(TIMEVALUE(W5)+34/1440,1),"HH:MM")</f>
        <v/>
      </c>
      <c r="X21" s="15">
        <f>TEXT(MOD(TIMEVALUE(X5)+34/1440,1),"HH:MM")</f>
        <v/>
      </c>
      <c r="Y21" s="15">
        <f>TEXT(MOD(TIMEVALUE(Y5)+34/1440,1),"HH:MM")</f>
        <v/>
      </c>
      <c r="Z21" s="15">
        <f>TEXT(MOD(TIMEVALUE(Z5)+34/1440,1),"HH:MM")</f>
        <v/>
      </c>
      <c r="AA21" s="15">
        <f>TEXT(MOD(TIMEVALUE(AA5)+34/1440,1),"HH:MM")</f>
        <v/>
      </c>
      <c r="AB21" s="15">
        <f>TEXT(MOD(TIMEVALUE(AB5)+34/1440,1),"HH:MM")</f>
        <v/>
      </c>
      <c r="AC21" s="15">
        <f>TEXT(MOD(TIMEVALUE(AC5)+34/1440,1),"HH:MM")</f>
        <v/>
      </c>
      <c r="AD21" s="15">
        <f>TEXT(MOD(TIMEVALUE(AD5)+34/1440,1),"HH:MM")</f>
        <v/>
      </c>
      <c r="AE21" s="15">
        <f>TEXT(MOD(TIMEVALUE(AE5)+34/1440,1),"HH:MM")</f>
        <v/>
      </c>
      <c r="AF21" s="15">
        <f>TEXT(MOD(TIMEVALUE(AF5)+34/1440,1),"HH:MM")</f>
        <v/>
      </c>
      <c r="AG21" s="15">
        <f>TEXT(MOD(TIMEVALUE(AG5)+34/1440,1),"HH:MM")</f>
        <v/>
      </c>
      <c r="AH21" s="15">
        <f>TEXT(MOD(TIMEVALUE(AH5)+34/1440,1),"HH:MM")</f>
        <v/>
      </c>
      <c r="AI21" s="15">
        <f>TEXT(MOD(TIMEVALUE(AI5)+34/1440,1),"HH:MM")</f>
        <v/>
      </c>
      <c r="AJ21" s="15">
        <f>TEXT(MOD(TIMEVALUE(AJ5)+34/1440,1),"HH:MM")</f>
        <v/>
      </c>
      <c r="AK21" s="15">
        <f>TEXT(MOD(TIMEVALUE(AK5)+34/1440,1),"HH:MM")</f>
        <v/>
      </c>
      <c r="AL21" s="15">
        <f>TEXT(MOD(TIMEVALUE(AL5)+34/1440,1),"HH:MM")</f>
        <v/>
      </c>
      <c r="AM21" s="15">
        <f>TEXT(MOD(TIMEVALUE(AM5)+34/1440,1),"HH:MM")</f>
        <v/>
      </c>
      <c r="AN21" s="15">
        <f>TEXT(MOD(TIMEVALUE(AN5)+34/1440,1),"HH:MM")</f>
        <v/>
      </c>
      <c r="AO21" s="15">
        <f>TEXT(MOD(TIMEVALUE(AO5)+34/1440,1),"HH:MM")</f>
        <v/>
      </c>
      <c r="AP21" s="15">
        <f>TEXT(MOD(TIMEVALUE(AP5)+34/1440,1),"HH:MM")</f>
        <v/>
      </c>
      <c r="AQ21" s="15">
        <f>TEXT(MOD(TIMEVALUE(AQ5)+34/1440,1),"HH:MM")</f>
        <v/>
      </c>
      <c r="AR21" s="15">
        <f>TEXT(MOD(TIMEVALUE(AR5)+34/1440,1),"HH:MM")</f>
        <v/>
      </c>
      <c r="AS21" s="15">
        <f>TEXT(MOD(TIMEVALUE(AS5)+34/1440,1),"HH:MM")</f>
        <v/>
      </c>
      <c r="AT21" s="15">
        <f>TEXT(MOD(TIMEVALUE(AT5)+34/1440,1),"HH:MM")</f>
        <v/>
      </c>
      <c r="AU21" s="15">
        <f>TEXT(MOD(TIMEVALUE(AU5)+34/1440,1),"HH:MM")</f>
        <v/>
      </c>
      <c r="AV21" s="15">
        <f>TEXT(MOD(TIMEVALUE(AV5)+34/1440,1),"HH:MM")</f>
        <v/>
      </c>
      <c r="AW21" s="15">
        <f>TEXT(MOD(TIMEVALUE(AW5)+34/1440,1),"HH:MM")</f>
        <v/>
      </c>
      <c r="AX21" s="15">
        <f>TEXT(MOD(TIMEVALUE(AX5)+34/1440,1),"HH:MM")</f>
        <v/>
      </c>
      <c r="AY21" s="15">
        <f>TEXT(MOD(TIMEVALUE(AY5)+34/1440,1),"HH:MM")</f>
        <v/>
      </c>
      <c r="AZ21" s="15">
        <f>TEXT(MOD(TIMEVALUE(AZ5)+34/1440,1),"HH:MM")</f>
        <v/>
      </c>
      <c r="BA21" s="15">
        <f>TEXT(MOD(TIMEVALUE(BA5)+34/1440,1),"HH:MM")</f>
        <v/>
      </c>
      <c r="BB21" s="15">
        <f>TEXT(MOD(TIMEVALUE(BB5)+34/1440,1),"HH:MM")</f>
        <v/>
      </c>
      <c r="BC21" s="15">
        <f>TEXT(MOD(TIMEVALUE(BC5)+34/1440,1),"HH:MM")</f>
        <v/>
      </c>
      <c r="BD21" s="15">
        <f>TEXT(MOD(TIMEVALUE(BD5)+34/1440,1),"HH:MM")</f>
        <v/>
      </c>
      <c r="BE21" s="15">
        <f>TEXT(MOD(TIMEVALUE(BE5)+34/1440,1),"HH:MM")</f>
        <v/>
      </c>
      <c r="BF21" s="15">
        <f>TEXT(MOD(TIMEVALUE(BF5)+34/1440,1),"HH:MM")</f>
        <v/>
      </c>
      <c r="BG21" s="15">
        <f>TEXT(MOD(TIMEVALUE(BG5)+34/1440,1),"HH:MM")</f>
        <v/>
      </c>
      <c r="BH21" s="15">
        <f>TEXT(MOD(TIMEVALUE(BH5)+34/1440,1),"HH:MM")</f>
        <v/>
      </c>
      <c r="BI21" s="15">
        <f>TEXT(MOD(TIMEVALUE(BI5)+34/1440,1),"HH:MM")</f>
        <v/>
      </c>
      <c r="BJ21" s="15">
        <f>TEXT(MOD(TIMEVALUE(BJ5)+34/1440,1),"HH:MM")</f>
        <v/>
      </c>
      <c r="BK21" s="15">
        <f>TEXT(MOD(TIMEVALUE(BK5)+34/1440,1),"HH:MM")</f>
        <v/>
      </c>
      <c r="BL21" s="15">
        <f>TEXT(MOD(TIMEVALUE(BL5)+34/1440,1),"HH:MM")</f>
        <v/>
      </c>
      <c r="BM21" s="15">
        <f>TEXT(MOD(TIMEVALUE(BM5)+34/1440,1),"HH:MM")</f>
        <v/>
      </c>
      <c r="BN21" s="15">
        <f>TEXT(MOD(TIMEVALUE(BN5)+34/1440,1),"HH:MM")</f>
        <v/>
      </c>
      <c r="BO21" s="15">
        <f>TEXT(MOD(TIMEVALUE(BO5)+34/1440,1),"HH:MM")</f>
        <v/>
      </c>
      <c r="BP21" s="15">
        <f>TEXT(MOD(TIMEVALUE(BP5)+34/1440,1),"HH:MM")</f>
        <v/>
      </c>
      <c r="BQ21" s="15">
        <f>TEXT(MOD(TIMEVALUE(BQ5)+34/1440,1),"HH:MM")</f>
        <v/>
      </c>
      <c r="BR21" s="15">
        <f>TEXT(MOD(TIMEVALUE(BR5)+34/1440,1),"HH:MM")</f>
        <v/>
      </c>
      <c r="BS21" s="15">
        <f>TEXT(MOD(TIMEVALUE(BS5)+34/1440,1),"HH:MM")</f>
        <v/>
      </c>
      <c r="BT21" s="15">
        <f>TEXT(MOD(TIMEVALUE(BT5)+34/1440,1),"HH:MM")</f>
        <v/>
      </c>
      <c r="BU21" s="15">
        <f>TEXT(MOD(TIMEVALUE(BU5)+34/1440,1),"HH:MM")</f>
        <v/>
      </c>
      <c r="BV21" s="15">
        <f>TEXT(MOD(TIMEVALUE(BV5)+34/1440,1),"HH:MM")</f>
        <v/>
      </c>
      <c r="BW21" s="15">
        <f>TEXT(MOD(TIMEVALUE(BW5)+34/1440,1),"HH:MM")</f>
        <v/>
      </c>
      <c r="BX21" s="15">
        <f>TEXT(MOD(TIMEVALUE(BX5)+34/1440,1),"HH:MM")</f>
        <v/>
      </c>
      <c r="BY21" s="15">
        <f>TEXT(MOD(TIMEVALUE(BY5)+34/1440,1),"HH:MM")</f>
        <v/>
      </c>
      <c r="BZ21" s="15">
        <f>TEXT(MOD(TIMEVALUE(BZ5)+34/1440,1),"HH:MM")</f>
        <v/>
      </c>
      <c r="CA21" s="15">
        <f>TEXT(MOD(TIMEVALUE(CA5)+34/1440,1),"HH:MM")</f>
        <v/>
      </c>
      <c r="CB21" s="15">
        <f>TEXT(MOD(TIMEVALUE(CB5)+34/1440,1),"HH:MM")</f>
        <v/>
      </c>
      <c r="CC21" s="15">
        <f>TEXT(MOD(TIMEVALUE(CC5)+34/1440,1),"HH:MM")</f>
        <v/>
      </c>
      <c r="CD21" s="15">
        <f>TEXT(MOD(TIMEVALUE(CD5)+34/1440,1),"HH:MM")</f>
        <v/>
      </c>
      <c r="CE21" s="15">
        <f>TEXT(MOD(TIMEVALUE(CE5)+34/1440,1),"HH:MM")</f>
        <v/>
      </c>
      <c r="CF21" s="15">
        <f>TEXT(MOD(TIMEVALUE(CF5)+34/1440,1),"HH:MM")</f>
        <v/>
      </c>
      <c r="CG21" s="15">
        <f>TEXT(MOD(TIMEVALUE(CG5)+34/1440,1),"HH:MM")</f>
        <v/>
      </c>
      <c r="CH21" s="15">
        <f>TEXT(MOD(TIMEVALUE(CH5)+34/1440,1),"HH:MM")</f>
        <v/>
      </c>
      <c r="CI21" s="15">
        <f>TEXT(MOD(TIMEVALUE(CI5)+34/1440,1),"HH:MM")</f>
        <v/>
      </c>
      <c r="CJ21" s="15">
        <f>TEXT(MOD(TIMEVALUE(CJ5)+34/1440,1),"HH:MM")</f>
        <v/>
      </c>
      <c r="CK21" s="15">
        <f>TEXT(MOD(TIMEVALUE(CK5)+34/1440,1),"HH:MM")</f>
        <v/>
      </c>
      <c r="CL21" s="15">
        <f>TEXT(MOD(TIMEVALUE(CL5)+34/1440,1),"HH:MM")</f>
        <v/>
      </c>
      <c r="CM21" s="15">
        <f>TEXT(MOD(TIMEVALUE(CM5)+34/1440,1),"HH:MM")</f>
        <v/>
      </c>
      <c r="CN21" s="15">
        <f>TEXT(MOD(TIMEVALUE(CN5)+34/1440,1),"HH:MM")</f>
        <v/>
      </c>
      <c r="CO21" s="15">
        <f>TEXT(MOD(TIMEVALUE(CO5)+34/1440,1),"HH:MM")</f>
        <v/>
      </c>
    </row>
    <row r="22" ht="16.5" customHeight="1" s="26">
      <c r="A22" s="22" t="inlineStr">
        <is>
          <t>Sgto. Barruffaldi</t>
        </is>
      </c>
      <c r="B22" s="13">
        <f>TEXT(MOD(TIMEVALUE(B5)+37/1440,1),"HH:MM")</f>
        <v/>
      </c>
      <c r="C22" s="13">
        <f>TEXT(MOD(TIMEVALUE(C5)+37/1440,1),"HH:MM")</f>
        <v/>
      </c>
      <c r="D22" s="13">
        <f>TEXT(MOD(TIMEVALUE(D5)+37/1440,1),"HH:MM")</f>
        <v/>
      </c>
      <c r="E22" s="13">
        <f>TEXT(MOD(TIMEVALUE(E5)+37/1440,1),"HH:MM")</f>
        <v/>
      </c>
      <c r="F22" s="13">
        <f>TEXT(MOD(TIMEVALUE(F5)+37/1440,1),"HH:MM")</f>
        <v/>
      </c>
      <c r="G22" s="13">
        <f>TEXT(MOD(TIMEVALUE(G5)+37/1440,1),"HH:MM")</f>
        <v/>
      </c>
      <c r="H22" s="13">
        <f>TEXT(MOD(TIMEVALUE(H5)+37/1440,1),"HH:MM")</f>
        <v/>
      </c>
      <c r="I22" s="13">
        <f>TEXT(MOD(TIMEVALUE(I5)+37/1440,1),"HH:MM")</f>
        <v/>
      </c>
      <c r="J22" s="13">
        <f>TEXT(MOD(TIMEVALUE(J5)+37/1440,1),"HH:MM")</f>
        <v/>
      </c>
      <c r="K22" s="13">
        <f>TEXT(MOD(TIMEVALUE(K5)+37/1440,1),"HH:MM")</f>
        <v/>
      </c>
      <c r="L22" s="13">
        <f>TEXT(MOD(TIMEVALUE(L5)+37/1440,1),"HH:MM")</f>
        <v/>
      </c>
      <c r="M22" s="13">
        <f>TEXT(MOD(TIMEVALUE(M5)+37/1440,1),"HH:MM")</f>
        <v/>
      </c>
      <c r="N22" s="13">
        <f>TEXT(MOD(TIMEVALUE(N5)+37/1440,1),"HH:MM")</f>
        <v/>
      </c>
      <c r="O22" s="13">
        <f>TEXT(MOD(TIMEVALUE(O5)+37/1440,1),"HH:MM")</f>
        <v/>
      </c>
      <c r="P22" s="13">
        <f>TEXT(MOD(TIMEVALUE(P5)+37/1440,1),"HH:MM")</f>
        <v/>
      </c>
      <c r="Q22" s="13">
        <f>TEXT(MOD(TIMEVALUE(Q5)+37/1440,1),"HH:MM")</f>
        <v/>
      </c>
      <c r="R22" s="13">
        <f>TEXT(MOD(TIMEVALUE(R5)+37/1440,1),"HH:MM")</f>
        <v/>
      </c>
      <c r="S22" s="13">
        <f>TEXT(MOD(TIMEVALUE(S5)+37/1440,1),"HH:MM")</f>
        <v/>
      </c>
      <c r="T22" s="13">
        <f>TEXT(MOD(TIMEVALUE(T5)+37/1440,1),"HH:MM")</f>
        <v/>
      </c>
      <c r="U22" s="13">
        <f>TEXT(MOD(TIMEVALUE(U5)+37/1440,1),"HH:MM")</f>
        <v/>
      </c>
      <c r="V22" s="13">
        <f>TEXT(MOD(TIMEVALUE(V5)+37/1440,1),"HH:MM")</f>
        <v/>
      </c>
      <c r="W22" s="13">
        <f>TEXT(MOD(TIMEVALUE(W5)+37/1440,1),"HH:MM")</f>
        <v/>
      </c>
      <c r="X22" s="13">
        <f>TEXT(MOD(TIMEVALUE(X5)+37/1440,1),"HH:MM")</f>
        <v/>
      </c>
      <c r="Y22" s="13">
        <f>TEXT(MOD(TIMEVALUE(Y5)+37/1440,1),"HH:MM")</f>
        <v/>
      </c>
      <c r="Z22" s="13">
        <f>TEXT(MOD(TIMEVALUE(Z5)+37/1440,1),"HH:MM")</f>
        <v/>
      </c>
      <c r="AA22" s="13">
        <f>TEXT(MOD(TIMEVALUE(AA5)+37/1440,1),"HH:MM")</f>
        <v/>
      </c>
      <c r="AB22" s="13">
        <f>TEXT(MOD(TIMEVALUE(AB5)+37/1440,1),"HH:MM")</f>
        <v/>
      </c>
      <c r="AC22" s="13">
        <f>TEXT(MOD(TIMEVALUE(AC5)+37/1440,1),"HH:MM")</f>
        <v/>
      </c>
      <c r="AD22" s="13">
        <f>TEXT(MOD(TIMEVALUE(AD5)+37/1440,1),"HH:MM")</f>
        <v/>
      </c>
      <c r="AE22" s="13">
        <f>TEXT(MOD(TIMEVALUE(AE5)+37/1440,1),"HH:MM")</f>
        <v/>
      </c>
      <c r="AF22" s="13">
        <f>TEXT(MOD(TIMEVALUE(AF5)+37/1440,1),"HH:MM")</f>
        <v/>
      </c>
      <c r="AG22" s="13">
        <f>TEXT(MOD(TIMEVALUE(AG5)+37/1440,1),"HH:MM")</f>
        <v/>
      </c>
      <c r="AH22" s="13">
        <f>TEXT(MOD(TIMEVALUE(AH5)+37/1440,1),"HH:MM")</f>
        <v/>
      </c>
      <c r="AI22" s="13">
        <f>TEXT(MOD(TIMEVALUE(AI5)+37/1440,1),"HH:MM")</f>
        <v/>
      </c>
      <c r="AJ22" s="13">
        <f>TEXT(MOD(TIMEVALUE(AJ5)+37/1440,1),"HH:MM")</f>
        <v/>
      </c>
      <c r="AK22" s="13">
        <f>TEXT(MOD(TIMEVALUE(AK5)+37/1440,1),"HH:MM")</f>
        <v/>
      </c>
      <c r="AL22" s="13">
        <f>TEXT(MOD(TIMEVALUE(AL5)+37/1440,1),"HH:MM")</f>
        <v/>
      </c>
      <c r="AM22" s="13">
        <f>TEXT(MOD(TIMEVALUE(AM5)+37/1440,1),"HH:MM")</f>
        <v/>
      </c>
      <c r="AN22" s="13">
        <f>TEXT(MOD(TIMEVALUE(AN5)+37/1440,1),"HH:MM")</f>
        <v/>
      </c>
      <c r="AO22" s="13">
        <f>TEXT(MOD(TIMEVALUE(AO5)+37/1440,1),"HH:MM")</f>
        <v/>
      </c>
      <c r="AP22" s="13">
        <f>TEXT(MOD(TIMEVALUE(AP5)+37/1440,1),"HH:MM")</f>
        <v/>
      </c>
      <c r="AQ22" s="13">
        <f>TEXT(MOD(TIMEVALUE(AQ5)+37/1440,1),"HH:MM")</f>
        <v/>
      </c>
      <c r="AR22" s="13">
        <f>TEXT(MOD(TIMEVALUE(AR5)+37/1440,1),"HH:MM")</f>
        <v/>
      </c>
      <c r="AS22" s="13">
        <f>TEXT(MOD(TIMEVALUE(AS5)+37/1440,1),"HH:MM")</f>
        <v/>
      </c>
      <c r="AT22" s="13">
        <f>TEXT(MOD(TIMEVALUE(AT5)+37/1440,1),"HH:MM")</f>
        <v/>
      </c>
      <c r="AU22" s="13">
        <f>TEXT(MOD(TIMEVALUE(AU5)+37/1440,1),"HH:MM")</f>
        <v/>
      </c>
      <c r="AV22" s="13">
        <f>TEXT(MOD(TIMEVALUE(AV5)+37/1440,1),"HH:MM")</f>
        <v/>
      </c>
      <c r="AW22" s="13">
        <f>TEXT(MOD(TIMEVALUE(AW5)+37/1440,1),"HH:MM")</f>
        <v/>
      </c>
      <c r="AX22" s="13">
        <f>TEXT(MOD(TIMEVALUE(AX5)+37/1440,1),"HH:MM")</f>
        <v/>
      </c>
      <c r="AY22" s="13">
        <f>TEXT(MOD(TIMEVALUE(AY5)+37/1440,1),"HH:MM")</f>
        <v/>
      </c>
      <c r="AZ22" s="13">
        <f>TEXT(MOD(TIMEVALUE(AZ5)+37/1440,1),"HH:MM")</f>
        <v/>
      </c>
      <c r="BA22" s="13">
        <f>TEXT(MOD(TIMEVALUE(BA5)+37/1440,1),"HH:MM")</f>
        <v/>
      </c>
      <c r="BB22" s="13">
        <f>TEXT(MOD(TIMEVALUE(BB5)+37/1440,1),"HH:MM")</f>
        <v/>
      </c>
      <c r="BC22" s="13">
        <f>TEXT(MOD(TIMEVALUE(BC5)+37/1440,1),"HH:MM")</f>
        <v/>
      </c>
      <c r="BD22" s="13">
        <f>TEXT(MOD(TIMEVALUE(BD5)+37/1440,1),"HH:MM")</f>
        <v/>
      </c>
      <c r="BE22" s="13">
        <f>TEXT(MOD(TIMEVALUE(BE5)+37/1440,1),"HH:MM")</f>
        <v/>
      </c>
      <c r="BF22" s="13">
        <f>TEXT(MOD(TIMEVALUE(BF5)+37/1440,1),"HH:MM")</f>
        <v/>
      </c>
      <c r="BG22" s="13">
        <f>TEXT(MOD(TIMEVALUE(BG5)+37/1440,1),"HH:MM")</f>
        <v/>
      </c>
      <c r="BH22" s="13">
        <f>TEXT(MOD(TIMEVALUE(BH5)+37/1440,1),"HH:MM")</f>
        <v/>
      </c>
      <c r="BI22" s="13">
        <f>TEXT(MOD(TIMEVALUE(BI5)+37/1440,1),"HH:MM")</f>
        <v/>
      </c>
      <c r="BJ22" s="13">
        <f>TEXT(MOD(TIMEVALUE(BJ5)+37/1440,1),"HH:MM")</f>
        <v/>
      </c>
      <c r="BK22" s="13">
        <f>TEXT(MOD(TIMEVALUE(BK5)+37/1440,1),"HH:MM")</f>
        <v/>
      </c>
      <c r="BL22" s="13">
        <f>TEXT(MOD(TIMEVALUE(BL5)+37/1440,1),"HH:MM")</f>
        <v/>
      </c>
      <c r="BM22" s="13">
        <f>TEXT(MOD(TIMEVALUE(BM5)+37/1440,1),"HH:MM")</f>
        <v/>
      </c>
      <c r="BN22" s="13">
        <f>TEXT(MOD(TIMEVALUE(BN5)+37/1440,1),"HH:MM")</f>
        <v/>
      </c>
      <c r="BO22" s="13">
        <f>TEXT(MOD(TIMEVALUE(BO5)+37/1440,1),"HH:MM")</f>
        <v/>
      </c>
      <c r="BP22" s="13">
        <f>TEXT(MOD(TIMEVALUE(BP5)+37/1440,1),"HH:MM")</f>
        <v/>
      </c>
      <c r="BQ22" s="13">
        <f>TEXT(MOD(TIMEVALUE(BQ5)+37/1440,1),"HH:MM")</f>
        <v/>
      </c>
      <c r="BR22" s="13">
        <f>TEXT(MOD(TIMEVALUE(BR5)+37/1440,1),"HH:MM")</f>
        <v/>
      </c>
      <c r="BS22" s="13">
        <f>TEXT(MOD(TIMEVALUE(BS5)+37/1440,1),"HH:MM")</f>
        <v/>
      </c>
      <c r="BT22" s="13">
        <f>TEXT(MOD(TIMEVALUE(BT5)+37/1440,1),"HH:MM")</f>
        <v/>
      </c>
      <c r="BU22" s="13">
        <f>TEXT(MOD(TIMEVALUE(BU5)+37/1440,1),"HH:MM")</f>
        <v/>
      </c>
      <c r="BV22" s="13">
        <f>TEXT(MOD(TIMEVALUE(BV5)+37/1440,1),"HH:MM")</f>
        <v/>
      </c>
      <c r="BW22" s="13">
        <f>TEXT(MOD(TIMEVALUE(BW5)+37/1440,1),"HH:MM")</f>
        <v/>
      </c>
      <c r="BX22" s="13">
        <f>TEXT(MOD(TIMEVALUE(BX5)+37/1440,1),"HH:MM")</f>
        <v/>
      </c>
      <c r="BY22" s="13">
        <f>TEXT(MOD(TIMEVALUE(BY5)+37/1440,1),"HH:MM")</f>
        <v/>
      </c>
      <c r="BZ22" s="13">
        <f>TEXT(MOD(TIMEVALUE(BZ5)+37/1440,1),"HH:MM")</f>
        <v/>
      </c>
      <c r="CA22" s="13">
        <f>TEXT(MOD(TIMEVALUE(CA5)+37/1440,1),"HH:MM")</f>
        <v/>
      </c>
      <c r="CB22" s="13">
        <f>TEXT(MOD(TIMEVALUE(CB5)+37/1440,1),"HH:MM")</f>
        <v/>
      </c>
      <c r="CC22" s="13">
        <f>TEXT(MOD(TIMEVALUE(CC5)+37/1440,1),"HH:MM")</f>
        <v/>
      </c>
      <c r="CD22" s="13">
        <f>TEXT(MOD(TIMEVALUE(CD5)+37/1440,1),"HH:MM")</f>
        <v/>
      </c>
      <c r="CE22" s="13">
        <f>TEXT(MOD(TIMEVALUE(CE5)+37/1440,1),"HH:MM")</f>
        <v/>
      </c>
      <c r="CF22" s="13">
        <f>TEXT(MOD(TIMEVALUE(CF5)+37/1440,1),"HH:MM")</f>
        <v/>
      </c>
      <c r="CG22" s="13">
        <f>TEXT(MOD(TIMEVALUE(CG5)+37/1440,1),"HH:MM")</f>
        <v/>
      </c>
      <c r="CH22" s="13">
        <f>TEXT(MOD(TIMEVALUE(CH5)+37/1440,1),"HH:MM")</f>
        <v/>
      </c>
      <c r="CI22" s="13">
        <f>TEXT(MOD(TIMEVALUE(CI5)+37/1440,1),"HH:MM")</f>
        <v/>
      </c>
      <c r="CJ22" s="13">
        <f>TEXT(MOD(TIMEVALUE(CJ5)+37/1440,1),"HH:MM")</f>
        <v/>
      </c>
      <c r="CK22" s="13">
        <f>TEXT(MOD(TIMEVALUE(CK5)+37/1440,1),"HH:MM")</f>
        <v/>
      </c>
      <c r="CL22" s="13">
        <f>TEXT(MOD(TIMEVALUE(CL5)+37/1440,1),"HH:MM")</f>
        <v/>
      </c>
      <c r="CM22" s="13">
        <f>TEXT(MOD(TIMEVALUE(CM5)+37/1440,1),"HH:MM")</f>
        <v/>
      </c>
      <c r="CN22" s="13">
        <f>TEXT(MOD(TIMEVALUE(CN5)+37/1440,1),"HH:MM")</f>
        <v/>
      </c>
      <c r="CO22" s="13">
        <f>TEXT(MOD(TIMEVALUE(CO5)+37/1440,1),"HH:MM")</f>
        <v/>
      </c>
    </row>
    <row r="23" ht="16.5" customHeight="1" s="26">
      <c r="A23" s="23" t="inlineStr">
        <is>
          <t>Capitán Lozano</t>
        </is>
      </c>
      <c r="B23" s="15">
        <f>TEXT(MOD(TIMEVALUE(B5)+39/1440,1),"HH:MM")</f>
        <v/>
      </c>
      <c r="C23" s="15">
        <f>TEXT(MOD(TIMEVALUE(C5)+39/1440,1),"HH:MM")</f>
        <v/>
      </c>
      <c r="D23" s="15">
        <f>TEXT(MOD(TIMEVALUE(D5)+39/1440,1),"HH:MM")</f>
        <v/>
      </c>
      <c r="E23" s="15">
        <f>TEXT(MOD(TIMEVALUE(E5)+39/1440,1),"HH:MM")</f>
        <v/>
      </c>
      <c r="F23" s="15">
        <f>TEXT(MOD(TIMEVALUE(F5)+39/1440,1),"HH:MM")</f>
        <v/>
      </c>
      <c r="G23" s="15">
        <f>TEXT(MOD(TIMEVALUE(G5)+39/1440,1),"HH:MM")</f>
        <v/>
      </c>
      <c r="H23" s="15">
        <f>TEXT(MOD(TIMEVALUE(H5)+39/1440,1),"HH:MM")</f>
        <v/>
      </c>
      <c r="I23" s="15">
        <f>TEXT(MOD(TIMEVALUE(I5)+39/1440,1),"HH:MM")</f>
        <v/>
      </c>
      <c r="J23" s="15">
        <f>TEXT(MOD(TIMEVALUE(J5)+39/1440,1),"HH:MM")</f>
        <v/>
      </c>
      <c r="K23" s="15">
        <f>TEXT(MOD(TIMEVALUE(K5)+39/1440,1),"HH:MM")</f>
        <v/>
      </c>
      <c r="L23" s="15">
        <f>TEXT(MOD(TIMEVALUE(L5)+39/1440,1),"HH:MM")</f>
        <v/>
      </c>
      <c r="M23" s="15">
        <f>TEXT(MOD(TIMEVALUE(M5)+39/1440,1),"HH:MM")</f>
        <v/>
      </c>
      <c r="N23" s="15">
        <f>TEXT(MOD(TIMEVALUE(N5)+39/1440,1),"HH:MM")</f>
        <v/>
      </c>
      <c r="O23" s="15">
        <f>TEXT(MOD(TIMEVALUE(O5)+39/1440,1),"HH:MM")</f>
        <v/>
      </c>
      <c r="P23" s="15">
        <f>TEXT(MOD(TIMEVALUE(P5)+39/1440,1),"HH:MM")</f>
        <v/>
      </c>
      <c r="Q23" s="15">
        <f>TEXT(MOD(TIMEVALUE(Q5)+39/1440,1),"HH:MM")</f>
        <v/>
      </c>
      <c r="R23" s="15">
        <f>TEXT(MOD(TIMEVALUE(R5)+39/1440,1),"HH:MM")</f>
        <v/>
      </c>
      <c r="S23" s="15">
        <f>TEXT(MOD(TIMEVALUE(S5)+39/1440,1),"HH:MM")</f>
        <v/>
      </c>
      <c r="T23" s="15">
        <f>TEXT(MOD(TIMEVALUE(T5)+39/1440,1),"HH:MM")</f>
        <v/>
      </c>
      <c r="U23" s="15">
        <f>TEXT(MOD(TIMEVALUE(U5)+39/1440,1),"HH:MM")</f>
        <v/>
      </c>
      <c r="V23" s="15">
        <f>TEXT(MOD(TIMEVALUE(V5)+39/1440,1),"HH:MM")</f>
        <v/>
      </c>
      <c r="W23" s="15">
        <f>TEXT(MOD(TIMEVALUE(W5)+39/1440,1),"HH:MM")</f>
        <v/>
      </c>
      <c r="X23" s="15">
        <f>TEXT(MOD(TIMEVALUE(X5)+39/1440,1),"HH:MM")</f>
        <v/>
      </c>
      <c r="Y23" s="15">
        <f>TEXT(MOD(TIMEVALUE(Y5)+39/1440,1),"HH:MM")</f>
        <v/>
      </c>
      <c r="Z23" s="15">
        <f>TEXT(MOD(TIMEVALUE(Z5)+39/1440,1),"HH:MM")</f>
        <v/>
      </c>
      <c r="AA23" s="15">
        <f>TEXT(MOD(TIMEVALUE(AA5)+39/1440,1),"HH:MM")</f>
        <v/>
      </c>
      <c r="AB23" s="15">
        <f>TEXT(MOD(TIMEVALUE(AB5)+39/1440,1),"HH:MM")</f>
        <v/>
      </c>
      <c r="AC23" s="15">
        <f>TEXT(MOD(TIMEVALUE(AC5)+39/1440,1),"HH:MM")</f>
        <v/>
      </c>
      <c r="AD23" s="15">
        <f>TEXT(MOD(TIMEVALUE(AD5)+39/1440,1),"HH:MM")</f>
        <v/>
      </c>
      <c r="AE23" s="15">
        <f>TEXT(MOD(TIMEVALUE(AE5)+39/1440,1),"HH:MM")</f>
        <v/>
      </c>
      <c r="AF23" s="15">
        <f>TEXT(MOD(TIMEVALUE(AF5)+39/1440,1),"HH:MM")</f>
        <v/>
      </c>
      <c r="AG23" s="15">
        <f>TEXT(MOD(TIMEVALUE(AG5)+39/1440,1),"HH:MM")</f>
        <v/>
      </c>
      <c r="AH23" s="15">
        <f>TEXT(MOD(TIMEVALUE(AH5)+39/1440,1),"HH:MM")</f>
        <v/>
      </c>
      <c r="AI23" s="15">
        <f>TEXT(MOD(TIMEVALUE(AI5)+39/1440,1),"HH:MM")</f>
        <v/>
      </c>
      <c r="AJ23" s="15">
        <f>TEXT(MOD(TIMEVALUE(AJ5)+39/1440,1),"HH:MM")</f>
        <v/>
      </c>
      <c r="AK23" s="15">
        <f>TEXT(MOD(TIMEVALUE(AK5)+39/1440,1),"HH:MM")</f>
        <v/>
      </c>
      <c r="AL23" s="15">
        <f>TEXT(MOD(TIMEVALUE(AL5)+39/1440,1),"HH:MM")</f>
        <v/>
      </c>
      <c r="AM23" s="15">
        <f>TEXT(MOD(TIMEVALUE(AM5)+39/1440,1),"HH:MM")</f>
        <v/>
      </c>
      <c r="AN23" s="15">
        <f>TEXT(MOD(TIMEVALUE(AN5)+39/1440,1),"HH:MM")</f>
        <v/>
      </c>
      <c r="AO23" s="15">
        <f>TEXT(MOD(TIMEVALUE(AO5)+39/1440,1),"HH:MM")</f>
        <v/>
      </c>
      <c r="AP23" s="15">
        <f>TEXT(MOD(TIMEVALUE(AP5)+39/1440,1),"HH:MM")</f>
        <v/>
      </c>
      <c r="AQ23" s="15">
        <f>TEXT(MOD(TIMEVALUE(AQ5)+39/1440,1),"HH:MM")</f>
        <v/>
      </c>
      <c r="AR23" s="15">
        <f>TEXT(MOD(TIMEVALUE(AR5)+39/1440,1),"HH:MM")</f>
        <v/>
      </c>
      <c r="AS23" s="15">
        <f>TEXT(MOD(TIMEVALUE(AS5)+39/1440,1),"HH:MM")</f>
        <v/>
      </c>
      <c r="AT23" s="15">
        <f>TEXT(MOD(TIMEVALUE(AT5)+39/1440,1),"HH:MM")</f>
        <v/>
      </c>
      <c r="AU23" s="15">
        <f>TEXT(MOD(TIMEVALUE(AU5)+39/1440,1),"HH:MM")</f>
        <v/>
      </c>
      <c r="AV23" s="15">
        <f>TEXT(MOD(TIMEVALUE(AV5)+39/1440,1),"HH:MM")</f>
        <v/>
      </c>
      <c r="AW23" s="15">
        <f>TEXT(MOD(TIMEVALUE(AW5)+39/1440,1),"HH:MM")</f>
        <v/>
      </c>
      <c r="AX23" s="15">
        <f>TEXT(MOD(TIMEVALUE(AX5)+39/1440,1),"HH:MM")</f>
        <v/>
      </c>
      <c r="AY23" s="15">
        <f>TEXT(MOD(TIMEVALUE(AY5)+39/1440,1),"HH:MM")</f>
        <v/>
      </c>
      <c r="AZ23" s="15">
        <f>TEXT(MOD(TIMEVALUE(AZ5)+39/1440,1),"HH:MM")</f>
        <v/>
      </c>
      <c r="BA23" s="15">
        <f>TEXT(MOD(TIMEVALUE(BA5)+39/1440,1),"HH:MM")</f>
        <v/>
      </c>
      <c r="BB23" s="15">
        <f>TEXT(MOD(TIMEVALUE(BB5)+39/1440,1),"HH:MM")</f>
        <v/>
      </c>
      <c r="BC23" s="15">
        <f>TEXT(MOD(TIMEVALUE(BC5)+39/1440,1),"HH:MM")</f>
        <v/>
      </c>
      <c r="BD23" s="15">
        <f>TEXT(MOD(TIMEVALUE(BD5)+39/1440,1),"HH:MM")</f>
        <v/>
      </c>
      <c r="BE23" s="15">
        <f>TEXT(MOD(TIMEVALUE(BE5)+39/1440,1),"HH:MM")</f>
        <v/>
      </c>
      <c r="BF23" s="15">
        <f>TEXT(MOD(TIMEVALUE(BF5)+39/1440,1),"HH:MM")</f>
        <v/>
      </c>
      <c r="BG23" s="15">
        <f>TEXT(MOD(TIMEVALUE(BG5)+39/1440,1),"HH:MM")</f>
        <v/>
      </c>
      <c r="BH23" s="15">
        <f>TEXT(MOD(TIMEVALUE(BH5)+39/1440,1),"HH:MM")</f>
        <v/>
      </c>
      <c r="BI23" s="15">
        <f>TEXT(MOD(TIMEVALUE(BI5)+39/1440,1),"HH:MM")</f>
        <v/>
      </c>
      <c r="BJ23" s="15">
        <f>TEXT(MOD(TIMEVALUE(BJ5)+39/1440,1),"HH:MM")</f>
        <v/>
      </c>
      <c r="BK23" s="15">
        <f>TEXT(MOD(TIMEVALUE(BK5)+39/1440,1),"HH:MM")</f>
        <v/>
      </c>
      <c r="BL23" s="15">
        <f>TEXT(MOD(TIMEVALUE(BL5)+39/1440,1),"HH:MM")</f>
        <v/>
      </c>
      <c r="BM23" s="15">
        <f>TEXT(MOD(TIMEVALUE(BM5)+39/1440,1),"HH:MM")</f>
        <v/>
      </c>
      <c r="BN23" s="15">
        <f>TEXT(MOD(TIMEVALUE(BN5)+39/1440,1),"HH:MM")</f>
        <v/>
      </c>
      <c r="BO23" s="15">
        <f>TEXT(MOD(TIMEVALUE(BO5)+39/1440,1),"HH:MM")</f>
        <v/>
      </c>
      <c r="BP23" s="15">
        <f>TEXT(MOD(TIMEVALUE(BP5)+39/1440,1),"HH:MM")</f>
        <v/>
      </c>
      <c r="BQ23" s="15">
        <f>TEXT(MOD(TIMEVALUE(BQ5)+39/1440,1),"HH:MM")</f>
        <v/>
      </c>
      <c r="BR23" s="15">
        <f>TEXT(MOD(TIMEVALUE(BR5)+39/1440,1),"HH:MM")</f>
        <v/>
      </c>
      <c r="BS23" s="15">
        <f>TEXT(MOD(TIMEVALUE(BS5)+39/1440,1),"HH:MM")</f>
        <v/>
      </c>
      <c r="BT23" s="15">
        <f>TEXT(MOD(TIMEVALUE(BT5)+39/1440,1),"HH:MM")</f>
        <v/>
      </c>
      <c r="BU23" s="15">
        <f>TEXT(MOD(TIMEVALUE(BU5)+39/1440,1),"HH:MM")</f>
        <v/>
      </c>
      <c r="BV23" s="15">
        <f>TEXT(MOD(TIMEVALUE(BV5)+39/1440,1),"HH:MM")</f>
        <v/>
      </c>
      <c r="BW23" s="15">
        <f>TEXT(MOD(TIMEVALUE(BW5)+39/1440,1),"HH:MM")</f>
        <v/>
      </c>
      <c r="BX23" s="15">
        <f>TEXT(MOD(TIMEVALUE(BX5)+39/1440,1),"HH:MM")</f>
        <v/>
      </c>
      <c r="BY23" s="15">
        <f>TEXT(MOD(TIMEVALUE(BY5)+39/1440,1),"HH:MM")</f>
        <v/>
      </c>
      <c r="BZ23" s="15">
        <f>TEXT(MOD(TIMEVALUE(BZ5)+39/1440,1),"HH:MM")</f>
        <v/>
      </c>
      <c r="CA23" s="15">
        <f>TEXT(MOD(TIMEVALUE(CA5)+39/1440,1),"HH:MM")</f>
        <v/>
      </c>
      <c r="CB23" s="15">
        <f>TEXT(MOD(TIMEVALUE(CB5)+39/1440,1),"HH:MM")</f>
        <v/>
      </c>
      <c r="CC23" s="15">
        <f>TEXT(MOD(TIMEVALUE(CC5)+39/1440,1),"HH:MM")</f>
        <v/>
      </c>
      <c r="CD23" s="15">
        <f>TEXT(MOD(TIMEVALUE(CD5)+39/1440,1),"HH:MM")</f>
        <v/>
      </c>
      <c r="CE23" s="15">
        <f>TEXT(MOD(TIMEVALUE(CE5)+39/1440,1),"HH:MM")</f>
        <v/>
      </c>
      <c r="CF23" s="15">
        <f>TEXT(MOD(TIMEVALUE(CF5)+39/1440,1),"HH:MM")</f>
        <v/>
      </c>
      <c r="CG23" s="15">
        <f>TEXT(MOD(TIMEVALUE(CG5)+39/1440,1),"HH:MM")</f>
        <v/>
      </c>
      <c r="CH23" s="15">
        <f>TEXT(MOD(TIMEVALUE(CH5)+39/1440,1),"HH:MM")</f>
        <v/>
      </c>
      <c r="CI23" s="15">
        <f>TEXT(MOD(TIMEVALUE(CI5)+39/1440,1),"HH:MM")</f>
        <v/>
      </c>
      <c r="CJ23" s="15">
        <f>TEXT(MOD(TIMEVALUE(CJ5)+39/1440,1),"HH:MM")</f>
        <v/>
      </c>
      <c r="CK23" s="15">
        <f>TEXT(MOD(TIMEVALUE(CK5)+39/1440,1),"HH:MM")</f>
        <v/>
      </c>
      <c r="CL23" s="15">
        <f>TEXT(MOD(TIMEVALUE(CL5)+39/1440,1),"HH:MM")</f>
        <v/>
      </c>
      <c r="CM23" s="15">
        <f>TEXT(MOD(TIMEVALUE(CM5)+39/1440,1),"HH:MM")</f>
        <v/>
      </c>
      <c r="CN23" s="15">
        <f>TEXT(MOD(TIMEVALUE(CN5)+39/1440,1),"HH:MM")</f>
        <v/>
      </c>
      <c r="CO23" s="15">
        <f>TEXT(MOD(TIMEVALUE(CO5)+39/1440,1),"HH:MM")</f>
        <v/>
      </c>
    </row>
    <row r="24" ht="16.5" customHeight="1" s="26">
      <c r="A24" s="22" t="inlineStr">
        <is>
          <t>Teniente Agneta</t>
        </is>
      </c>
      <c r="B24" s="13">
        <f>TEXT(MOD(TIMEVALUE(B5)+41/1440,1),"HH:MM")</f>
        <v/>
      </c>
      <c r="C24" s="13">
        <f>TEXT(MOD(TIMEVALUE(C5)+41/1440,1),"HH:MM")</f>
        <v/>
      </c>
      <c r="D24" s="13">
        <f>TEXT(MOD(TIMEVALUE(D5)+41/1440,1),"HH:MM")</f>
        <v/>
      </c>
      <c r="E24" s="13">
        <f>TEXT(MOD(TIMEVALUE(E5)+41/1440,1),"HH:MM")</f>
        <v/>
      </c>
      <c r="F24" s="13">
        <f>TEXT(MOD(TIMEVALUE(F5)+41/1440,1),"HH:MM")</f>
        <v/>
      </c>
      <c r="G24" s="13">
        <f>TEXT(MOD(TIMEVALUE(G5)+41/1440,1),"HH:MM")</f>
        <v/>
      </c>
      <c r="H24" s="13">
        <f>TEXT(MOD(TIMEVALUE(H5)+41/1440,1),"HH:MM")</f>
        <v/>
      </c>
      <c r="I24" s="13">
        <f>TEXT(MOD(TIMEVALUE(I5)+41/1440,1),"HH:MM")</f>
        <v/>
      </c>
      <c r="J24" s="13">
        <f>TEXT(MOD(TIMEVALUE(J5)+41/1440,1),"HH:MM")</f>
        <v/>
      </c>
      <c r="K24" s="13">
        <f>TEXT(MOD(TIMEVALUE(K5)+41/1440,1),"HH:MM")</f>
        <v/>
      </c>
      <c r="L24" s="13">
        <f>TEXT(MOD(TIMEVALUE(L5)+41/1440,1),"HH:MM")</f>
        <v/>
      </c>
      <c r="M24" s="13">
        <f>TEXT(MOD(TIMEVALUE(M5)+41/1440,1),"HH:MM")</f>
        <v/>
      </c>
      <c r="N24" s="13">
        <f>TEXT(MOD(TIMEVALUE(N5)+41/1440,1),"HH:MM")</f>
        <v/>
      </c>
      <c r="O24" s="13">
        <f>TEXT(MOD(TIMEVALUE(O5)+41/1440,1),"HH:MM")</f>
        <v/>
      </c>
      <c r="P24" s="13">
        <f>TEXT(MOD(TIMEVALUE(P5)+41/1440,1),"HH:MM")</f>
        <v/>
      </c>
      <c r="Q24" s="13">
        <f>TEXT(MOD(TIMEVALUE(Q5)+41/1440,1),"HH:MM")</f>
        <v/>
      </c>
      <c r="R24" s="13">
        <f>TEXT(MOD(TIMEVALUE(R5)+41/1440,1),"HH:MM")</f>
        <v/>
      </c>
      <c r="S24" s="13">
        <f>TEXT(MOD(TIMEVALUE(S5)+41/1440,1),"HH:MM")</f>
        <v/>
      </c>
      <c r="T24" s="13">
        <f>TEXT(MOD(TIMEVALUE(T5)+41/1440,1),"HH:MM")</f>
        <v/>
      </c>
      <c r="U24" s="13">
        <f>TEXT(MOD(TIMEVALUE(U5)+41/1440,1),"HH:MM")</f>
        <v/>
      </c>
      <c r="V24" s="13">
        <f>TEXT(MOD(TIMEVALUE(V5)+41/1440,1),"HH:MM")</f>
        <v/>
      </c>
      <c r="W24" s="13">
        <f>TEXT(MOD(TIMEVALUE(W5)+41/1440,1),"HH:MM")</f>
        <v/>
      </c>
      <c r="X24" s="13">
        <f>TEXT(MOD(TIMEVALUE(X5)+41/1440,1),"HH:MM")</f>
        <v/>
      </c>
      <c r="Y24" s="13">
        <f>TEXT(MOD(TIMEVALUE(Y5)+41/1440,1),"HH:MM")</f>
        <v/>
      </c>
      <c r="Z24" s="13">
        <f>TEXT(MOD(TIMEVALUE(Z5)+41/1440,1),"HH:MM")</f>
        <v/>
      </c>
      <c r="AA24" s="13">
        <f>TEXT(MOD(TIMEVALUE(AA5)+41/1440,1),"HH:MM")</f>
        <v/>
      </c>
      <c r="AB24" s="13">
        <f>TEXT(MOD(TIMEVALUE(AB5)+41/1440,1),"HH:MM")</f>
        <v/>
      </c>
      <c r="AC24" s="13">
        <f>TEXT(MOD(TIMEVALUE(AC5)+41/1440,1),"HH:MM")</f>
        <v/>
      </c>
      <c r="AD24" s="13">
        <f>TEXT(MOD(TIMEVALUE(AD5)+41/1440,1),"HH:MM")</f>
        <v/>
      </c>
      <c r="AE24" s="13">
        <f>TEXT(MOD(TIMEVALUE(AE5)+41/1440,1),"HH:MM")</f>
        <v/>
      </c>
      <c r="AF24" s="13">
        <f>TEXT(MOD(TIMEVALUE(AF5)+41/1440,1),"HH:MM")</f>
        <v/>
      </c>
      <c r="AG24" s="13">
        <f>TEXT(MOD(TIMEVALUE(AG5)+41/1440,1),"HH:MM")</f>
        <v/>
      </c>
      <c r="AH24" s="13">
        <f>TEXT(MOD(TIMEVALUE(AH5)+41/1440,1),"HH:MM")</f>
        <v/>
      </c>
      <c r="AI24" s="13">
        <f>TEXT(MOD(TIMEVALUE(AI5)+41/1440,1),"HH:MM")</f>
        <v/>
      </c>
      <c r="AJ24" s="13">
        <f>TEXT(MOD(TIMEVALUE(AJ5)+41/1440,1),"HH:MM")</f>
        <v/>
      </c>
      <c r="AK24" s="13">
        <f>TEXT(MOD(TIMEVALUE(AK5)+41/1440,1),"HH:MM")</f>
        <v/>
      </c>
      <c r="AL24" s="13">
        <f>TEXT(MOD(TIMEVALUE(AL5)+41/1440,1),"HH:MM")</f>
        <v/>
      </c>
      <c r="AM24" s="13">
        <f>TEXT(MOD(TIMEVALUE(AM5)+41/1440,1),"HH:MM")</f>
        <v/>
      </c>
      <c r="AN24" s="13">
        <f>TEXT(MOD(TIMEVALUE(AN5)+41/1440,1),"HH:MM")</f>
        <v/>
      </c>
      <c r="AO24" s="13">
        <f>TEXT(MOD(TIMEVALUE(AO5)+41/1440,1),"HH:MM")</f>
        <v/>
      </c>
      <c r="AP24" s="13">
        <f>TEXT(MOD(TIMEVALUE(AP5)+41/1440,1),"HH:MM")</f>
        <v/>
      </c>
      <c r="AQ24" s="13">
        <f>TEXT(MOD(TIMEVALUE(AQ5)+41/1440,1),"HH:MM")</f>
        <v/>
      </c>
      <c r="AR24" s="13">
        <f>TEXT(MOD(TIMEVALUE(AR5)+41/1440,1),"HH:MM")</f>
        <v/>
      </c>
      <c r="AS24" s="13">
        <f>TEXT(MOD(TIMEVALUE(AS5)+41/1440,1),"HH:MM")</f>
        <v/>
      </c>
      <c r="AT24" s="13">
        <f>TEXT(MOD(TIMEVALUE(AT5)+41/1440,1),"HH:MM")</f>
        <v/>
      </c>
      <c r="AU24" s="13">
        <f>TEXT(MOD(TIMEVALUE(AU5)+41/1440,1),"HH:MM")</f>
        <v/>
      </c>
      <c r="AV24" s="13">
        <f>TEXT(MOD(TIMEVALUE(AV5)+41/1440,1),"HH:MM")</f>
        <v/>
      </c>
      <c r="AW24" s="13">
        <f>TEXT(MOD(TIMEVALUE(AW5)+41/1440,1),"HH:MM")</f>
        <v/>
      </c>
      <c r="AX24" s="13">
        <f>TEXT(MOD(TIMEVALUE(AX5)+41/1440,1),"HH:MM")</f>
        <v/>
      </c>
      <c r="AY24" s="13">
        <f>TEXT(MOD(TIMEVALUE(AY5)+41/1440,1),"HH:MM")</f>
        <v/>
      </c>
      <c r="AZ24" s="13">
        <f>TEXT(MOD(TIMEVALUE(AZ5)+41/1440,1),"HH:MM")</f>
        <v/>
      </c>
      <c r="BA24" s="13">
        <f>TEXT(MOD(TIMEVALUE(BA5)+41/1440,1),"HH:MM")</f>
        <v/>
      </c>
      <c r="BB24" s="13">
        <f>TEXT(MOD(TIMEVALUE(BB5)+41/1440,1),"HH:MM")</f>
        <v/>
      </c>
      <c r="BC24" s="13">
        <f>TEXT(MOD(TIMEVALUE(BC5)+41/1440,1),"HH:MM")</f>
        <v/>
      </c>
      <c r="BD24" s="13">
        <f>TEXT(MOD(TIMEVALUE(BD5)+41/1440,1),"HH:MM")</f>
        <v/>
      </c>
      <c r="BE24" s="13">
        <f>TEXT(MOD(TIMEVALUE(BE5)+41/1440,1),"HH:MM")</f>
        <v/>
      </c>
      <c r="BF24" s="13">
        <f>TEXT(MOD(TIMEVALUE(BF5)+41/1440,1),"HH:MM")</f>
        <v/>
      </c>
      <c r="BG24" s="13">
        <f>TEXT(MOD(TIMEVALUE(BG5)+41/1440,1),"HH:MM")</f>
        <v/>
      </c>
      <c r="BH24" s="13">
        <f>TEXT(MOD(TIMEVALUE(BH5)+41/1440,1),"HH:MM")</f>
        <v/>
      </c>
      <c r="BI24" s="13">
        <f>TEXT(MOD(TIMEVALUE(BI5)+41/1440,1),"HH:MM")</f>
        <v/>
      </c>
      <c r="BJ24" s="13">
        <f>TEXT(MOD(TIMEVALUE(BJ5)+41/1440,1),"HH:MM")</f>
        <v/>
      </c>
      <c r="BK24" s="13">
        <f>TEXT(MOD(TIMEVALUE(BK5)+41/1440,1),"HH:MM")</f>
        <v/>
      </c>
      <c r="BL24" s="13">
        <f>TEXT(MOD(TIMEVALUE(BL5)+41/1440,1),"HH:MM")</f>
        <v/>
      </c>
      <c r="BM24" s="13">
        <f>TEXT(MOD(TIMEVALUE(BM5)+41/1440,1),"HH:MM")</f>
        <v/>
      </c>
      <c r="BN24" s="13">
        <f>TEXT(MOD(TIMEVALUE(BN5)+41/1440,1),"HH:MM")</f>
        <v/>
      </c>
      <c r="BO24" s="13">
        <f>TEXT(MOD(TIMEVALUE(BO5)+41/1440,1),"HH:MM")</f>
        <v/>
      </c>
      <c r="BP24" s="13">
        <f>TEXT(MOD(TIMEVALUE(BP5)+41/1440,1),"HH:MM")</f>
        <v/>
      </c>
      <c r="BQ24" s="13">
        <f>TEXT(MOD(TIMEVALUE(BQ5)+41/1440,1),"HH:MM")</f>
        <v/>
      </c>
      <c r="BR24" s="13">
        <f>TEXT(MOD(TIMEVALUE(BR5)+41/1440,1),"HH:MM")</f>
        <v/>
      </c>
      <c r="BS24" s="13">
        <f>TEXT(MOD(TIMEVALUE(BS5)+41/1440,1),"HH:MM")</f>
        <v/>
      </c>
      <c r="BT24" s="13">
        <f>TEXT(MOD(TIMEVALUE(BT5)+41/1440,1),"HH:MM")</f>
        <v/>
      </c>
      <c r="BU24" s="13">
        <f>TEXT(MOD(TIMEVALUE(BU5)+41/1440,1),"HH:MM")</f>
        <v/>
      </c>
      <c r="BV24" s="13">
        <f>TEXT(MOD(TIMEVALUE(BV5)+41/1440,1),"HH:MM")</f>
        <v/>
      </c>
      <c r="BW24" s="13">
        <f>TEXT(MOD(TIMEVALUE(BW5)+41/1440,1),"HH:MM")</f>
        <v/>
      </c>
      <c r="BX24" s="13">
        <f>TEXT(MOD(TIMEVALUE(BX5)+41/1440,1),"HH:MM")</f>
        <v/>
      </c>
      <c r="BY24" s="13">
        <f>TEXT(MOD(TIMEVALUE(BY5)+41/1440,1),"HH:MM")</f>
        <v/>
      </c>
      <c r="BZ24" s="13">
        <f>TEXT(MOD(TIMEVALUE(BZ5)+41/1440,1),"HH:MM")</f>
        <v/>
      </c>
      <c r="CA24" s="13">
        <f>TEXT(MOD(TIMEVALUE(CA5)+41/1440,1),"HH:MM")</f>
        <v/>
      </c>
      <c r="CB24" s="13">
        <f>TEXT(MOD(TIMEVALUE(CB5)+41/1440,1),"HH:MM")</f>
        <v/>
      </c>
      <c r="CC24" s="13">
        <f>TEXT(MOD(TIMEVALUE(CC5)+41/1440,1),"HH:MM")</f>
        <v/>
      </c>
      <c r="CD24" s="13">
        <f>TEXT(MOD(TIMEVALUE(CD5)+41/1440,1),"HH:MM")</f>
        <v/>
      </c>
      <c r="CE24" s="13">
        <f>TEXT(MOD(TIMEVALUE(CE5)+41/1440,1),"HH:MM")</f>
        <v/>
      </c>
      <c r="CF24" s="13">
        <f>TEXT(MOD(TIMEVALUE(CF5)+41/1440,1),"HH:MM")</f>
        <v/>
      </c>
      <c r="CG24" s="13">
        <f>TEXT(MOD(TIMEVALUE(CG5)+41/1440,1),"HH:MM")</f>
        <v/>
      </c>
      <c r="CH24" s="13">
        <f>TEXT(MOD(TIMEVALUE(CH5)+41/1440,1),"HH:MM")</f>
        <v/>
      </c>
      <c r="CI24" s="13">
        <f>TEXT(MOD(TIMEVALUE(CI5)+41/1440,1),"HH:MM")</f>
        <v/>
      </c>
      <c r="CJ24" s="13">
        <f>TEXT(MOD(TIMEVALUE(CJ5)+41/1440,1),"HH:MM")</f>
        <v/>
      </c>
      <c r="CK24" s="13">
        <f>TEXT(MOD(TIMEVALUE(CK5)+41/1440,1),"HH:MM")</f>
        <v/>
      </c>
      <c r="CL24" s="13">
        <f>TEXT(MOD(TIMEVALUE(CL5)+41/1440,1),"HH:MM")</f>
        <v/>
      </c>
      <c r="CM24" s="13">
        <f>TEXT(MOD(TIMEVALUE(CM5)+41/1440,1),"HH:MM")</f>
        <v/>
      </c>
      <c r="CN24" s="13">
        <f>TEXT(MOD(TIMEVALUE(CN5)+41/1440,1),"HH:MM")</f>
        <v/>
      </c>
      <c r="CO24" s="13">
        <f>TEXT(MOD(TIMEVALUE(CO5)+41/1440,1),"HH:MM")</f>
        <v/>
      </c>
    </row>
    <row r="25" ht="16.5" customHeight="1" s="26">
      <c r="A25" s="23" t="inlineStr">
        <is>
          <t>Campo de Mayo</t>
        </is>
      </c>
      <c r="B25" s="15">
        <f>TEXT(MOD(TIMEVALUE(B5)+43/1440,1),"HH:MM")</f>
        <v/>
      </c>
      <c r="C25" s="15">
        <f>TEXT(MOD(TIMEVALUE(C5)+43/1440,1),"HH:MM")</f>
        <v/>
      </c>
      <c r="D25" s="15">
        <f>TEXT(MOD(TIMEVALUE(D5)+43/1440,1),"HH:MM")</f>
        <v/>
      </c>
      <c r="E25" s="15">
        <f>TEXT(MOD(TIMEVALUE(E5)+43/1440,1),"HH:MM")</f>
        <v/>
      </c>
      <c r="F25" s="15">
        <f>TEXT(MOD(TIMEVALUE(F5)+43/1440,1),"HH:MM")</f>
        <v/>
      </c>
      <c r="G25" s="15">
        <f>TEXT(MOD(TIMEVALUE(G5)+43/1440,1),"HH:MM")</f>
        <v/>
      </c>
      <c r="H25" s="15">
        <f>TEXT(MOD(TIMEVALUE(H5)+43/1440,1),"HH:MM")</f>
        <v/>
      </c>
      <c r="I25" s="15">
        <f>TEXT(MOD(TIMEVALUE(I5)+43/1440,1),"HH:MM")</f>
        <v/>
      </c>
      <c r="J25" s="15">
        <f>TEXT(MOD(TIMEVALUE(J5)+43/1440,1),"HH:MM")</f>
        <v/>
      </c>
      <c r="K25" s="15">
        <f>TEXT(MOD(TIMEVALUE(K5)+43/1440,1),"HH:MM")</f>
        <v/>
      </c>
      <c r="L25" s="15">
        <f>TEXT(MOD(TIMEVALUE(L5)+43/1440,1),"HH:MM")</f>
        <v/>
      </c>
      <c r="M25" s="15">
        <f>TEXT(MOD(TIMEVALUE(M5)+43/1440,1),"HH:MM")</f>
        <v/>
      </c>
      <c r="N25" s="15">
        <f>TEXT(MOD(TIMEVALUE(N5)+43/1440,1),"HH:MM")</f>
        <v/>
      </c>
      <c r="O25" s="15">
        <f>TEXT(MOD(TIMEVALUE(O5)+43/1440,1),"HH:MM")</f>
        <v/>
      </c>
      <c r="P25" s="15">
        <f>TEXT(MOD(TIMEVALUE(P5)+43/1440,1),"HH:MM")</f>
        <v/>
      </c>
      <c r="Q25" s="15">
        <f>TEXT(MOD(TIMEVALUE(Q5)+43/1440,1),"HH:MM")</f>
        <v/>
      </c>
      <c r="R25" s="15">
        <f>TEXT(MOD(TIMEVALUE(R5)+43/1440,1),"HH:MM")</f>
        <v/>
      </c>
      <c r="S25" s="15">
        <f>TEXT(MOD(TIMEVALUE(S5)+43/1440,1),"HH:MM")</f>
        <v/>
      </c>
      <c r="T25" s="15">
        <f>TEXT(MOD(TIMEVALUE(T5)+43/1440,1),"HH:MM")</f>
        <v/>
      </c>
      <c r="U25" s="15">
        <f>TEXT(MOD(TIMEVALUE(U5)+43/1440,1),"HH:MM")</f>
        <v/>
      </c>
      <c r="V25" s="15">
        <f>TEXT(MOD(TIMEVALUE(V5)+43/1440,1),"HH:MM")</f>
        <v/>
      </c>
      <c r="W25" s="15">
        <f>TEXT(MOD(TIMEVALUE(W5)+43/1440,1),"HH:MM")</f>
        <v/>
      </c>
      <c r="X25" s="15">
        <f>TEXT(MOD(TIMEVALUE(X5)+43/1440,1),"HH:MM")</f>
        <v/>
      </c>
      <c r="Y25" s="15">
        <f>TEXT(MOD(TIMEVALUE(Y5)+43/1440,1),"HH:MM")</f>
        <v/>
      </c>
      <c r="Z25" s="15">
        <f>TEXT(MOD(TIMEVALUE(Z5)+43/1440,1),"HH:MM")</f>
        <v/>
      </c>
      <c r="AA25" s="15">
        <f>TEXT(MOD(TIMEVALUE(AA5)+43/1440,1),"HH:MM")</f>
        <v/>
      </c>
      <c r="AB25" s="15">
        <f>TEXT(MOD(TIMEVALUE(AB5)+43/1440,1),"HH:MM")</f>
        <v/>
      </c>
      <c r="AC25" s="15">
        <f>TEXT(MOD(TIMEVALUE(AC5)+43/1440,1),"HH:MM")</f>
        <v/>
      </c>
      <c r="AD25" s="15">
        <f>TEXT(MOD(TIMEVALUE(AD5)+43/1440,1),"HH:MM")</f>
        <v/>
      </c>
      <c r="AE25" s="15">
        <f>TEXT(MOD(TIMEVALUE(AE5)+43/1440,1),"HH:MM")</f>
        <v/>
      </c>
      <c r="AF25" s="15">
        <f>TEXT(MOD(TIMEVALUE(AF5)+43/1440,1),"HH:MM")</f>
        <v/>
      </c>
      <c r="AG25" s="15">
        <f>TEXT(MOD(TIMEVALUE(AG5)+43/1440,1),"HH:MM")</f>
        <v/>
      </c>
      <c r="AH25" s="15">
        <f>TEXT(MOD(TIMEVALUE(AH5)+43/1440,1),"HH:MM")</f>
        <v/>
      </c>
      <c r="AI25" s="15">
        <f>TEXT(MOD(TIMEVALUE(AI5)+43/1440,1),"HH:MM")</f>
        <v/>
      </c>
      <c r="AJ25" s="15">
        <f>TEXT(MOD(TIMEVALUE(AJ5)+43/1440,1),"HH:MM")</f>
        <v/>
      </c>
      <c r="AK25" s="15">
        <f>TEXT(MOD(TIMEVALUE(AK5)+43/1440,1),"HH:MM")</f>
        <v/>
      </c>
      <c r="AL25" s="15">
        <f>TEXT(MOD(TIMEVALUE(AL5)+43/1440,1),"HH:MM")</f>
        <v/>
      </c>
      <c r="AM25" s="15">
        <f>TEXT(MOD(TIMEVALUE(AM5)+43/1440,1),"HH:MM")</f>
        <v/>
      </c>
      <c r="AN25" s="15">
        <f>TEXT(MOD(TIMEVALUE(AN5)+43/1440,1),"HH:MM")</f>
        <v/>
      </c>
      <c r="AO25" s="15">
        <f>TEXT(MOD(TIMEVALUE(AO5)+43/1440,1),"HH:MM")</f>
        <v/>
      </c>
      <c r="AP25" s="15">
        <f>TEXT(MOD(TIMEVALUE(AP5)+43/1440,1),"HH:MM")</f>
        <v/>
      </c>
      <c r="AQ25" s="15">
        <f>TEXT(MOD(TIMEVALUE(AQ5)+43/1440,1),"HH:MM")</f>
        <v/>
      </c>
      <c r="AR25" s="15">
        <f>TEXT(MOD(TIMEVALUE(AR5)+43/1440,1),"HH:MM")</f>
        <v/>
      </c>
      <c r="AS25" s="15">
        <f>TEXT(MOD(TIMEVALUE(AS5)+43/1440,1),"HH:MM")</f>
        <v/>
      </c>
      <c r="AT25" s="15">
        <f>TEXT(MOD(TIMEVALUE(AT5)+43/1440,1),"HH:MM")</f>
        <v/>
      </c>
      <c r="AU25" s="15">
        <f>TEXT(MOD(TIMEVALUE(AU5)+43/1440,1),"HH:MM")</f>
        <v/>
      </c>
      <c r="AV25" s="15">
        <f>TEXT(MOD(TIMEVALUE(AV5)+43/1440,1),"HH:MM")</f>
        <v/>
      </c>
      <c r="AW25" s="15">
        <f>TEXT(MOD(TIMEVALUE(AW5)+43/1440,1),"HH:MM")</f>
        <v/>
      </c>
      <c r="AX25" s="15">
        <f>TEXT(MOD(TIMEVALUE(AX5)+43/1440,1),"HH:MM")</f>
        <v/>
      </c>
      <c r="AY25" s="15">
        <f>TEXT(MOD(TIMEVALUE(AY5)+43/1440,1),"HH:MM")</f>
        <v/>
      </c>
      <c r="AZ25" s="15">
        <f>TEXT(MOD(TIMEVALUE(AZ5)+43/1440,1),"HH:MM")</f>
        <v/>
      </c>
      <c r="BA25" s="15">
        <f>TEXT(MOD(TIMEVALUE(BA5)+43/1440,1),"HH:MM")</f>
        <v/>
      </c>
      <c r="BB25" s="15">
        <f>TEXT(MOD(TIMEVALUE(BB5)+43/1440,1),"HH:MM")</f>
        <v/>
      </c>
      <c r="BC25" s="15">
        <f>TEXT(MOD(TIMEVALUE(BC5)+43/1440,1),"HH:MM")</f>
        <v/>
      </c>
      <c r="BD25" s="15">
        <f>TEXT(MOD(TIMEVALUE(BD5)+43/1440,1),"HH:MM")</f>
        <v/>
      </c>
      <c r="BE25" s="15">
        <f>TEXT(MOD(TIMEVALUE(BE5)+43/1440,1),"HH:MM")</f>
        <v/>
      </c>
      <c r="BF25" s="15">
        <f>TEXT(MOD(TIMEVALUE(BF5)+43/1440,1),"HH:MM")</f>
        <v/>
      </c>
      <c r="BG25" s="15">
        <f>TEXT(MOD(TIMEVALUE(BG5)+43/1440,1),"HH:MM")</f>
        <v/>
      </c>
      <c r="BH25" s="15">
        <f>TEXT(MOD(TIMEVALUE(BH5)+43/1440,1),"HH:MM")</f>
        <v/>
      </c>
      <c r="BI25" s="15">
        <f>TEXT(MOD(TIMEVALUE(BI5)+43/1440,1),"HH:MM")</f>
        <v/>
      </c>
      <c r="BJ25" s="15">
        <f>TEXT(MOD(TIMEVALUE(BJ5)+43/1440,1),"HH:MM")</f>
        <v/>
      </c>
      <c r="BK25" s="15">
        <f>TEXT(MOD(TIMEVALUE(BK5)+43/1440,1),"HH:MM")</f>
        <v/>
      </c>
      <c r="BL25" s="15">
        <f>TEXT(MOD(TIMEVALUE(BL5)+43/1440,1),"HH:MM")</f>
        <v/>
      </c>
      <c r="BM25" s="15">
        <f>TEXT(MOD(TIMEVALUE(BM5)+43/1440,1),"HH:MM")</f>
        <v/>
      </c>
      <c r="BN25" s="15">
        <f>TEXT(MOD(TIMEVALUE(BN5)+43/1440,1),"HH:MM")</f>
        <v/>
      </c>
      <c r="BO25" s="15">
        <f>TEXT(MOD(TIMEVALUE(BO5)+43/1440,1),"HH:MM")</f>
        <v/>
      </c>
      <c r="BP25" s="15">
        <f>TEXT(MOD(TIMEVALUE(BP5)+43/1440,1),"HH:MM")</f>
        <v/>
      </c>
      <c r="BQ25" s="15">
        <f>TEXT(MOD(TIMEVALUE(BQ5)+43/1440,1),"HH:MM")</f>
        <v/>
      </c>
      <c r="BR25" s="15">
        <f>TEXT(MOD(TIMEVALUE(BR5)+43/1440,1),"HH:MM")</f>
        <v/>
      </c>
      <c r="BS25" s="15">
        <f>TEXT(MOD(TIMEVALUE(BS5)+43/1440,1),"HH:MM")</f>
        <v/>
      </c>
      <c r="BT25" s="15">
        <f>TEXT(MOD(TIMEVALUE(BT5)+43/1440,1),"HH:MM")</f>
        <v/>
      </c>
      <c r="BU25" s="15">
        <f>TEXT(MOD(TIMEVALUE(BU5)+43/1440,1),"HH:MM")</f>
        <v/>
      </c>
      <c r="BV25" s="15">
        <f>TEXT(MOD(TIMEVALUE(BV5)+43/1440,1),"HH:MM")</f>
        <v/>
      </c>
      <c r="BW25" s="15">
        <f>TEXT(MOD(TIMEVALUE(BW5)+43/1440,1),"HH:MM")</f>
        <v/>
      </c>
      <c r="BX25" s="15">
        <f>TEXT(MOD(TIMEVALUE(BX5)+43/1440,1),"HH:MM")</f>
        <v/>
      </c>
      <c r="BY25" s="15">
        <f>TEXT(MOD(TIMEVALUE(BY5)+43/1440,1),"HH:MM")</f>
        <v/>
      </c>
      <c r="BZ25" s="15">
        <f>TEXT(MOD(TIMEVALUE(BZ5)+43/1440,1),"HH:MM")</f>
        <v/>
      </c>
      <c r="CA25" s="15">
        <f>TEXT(MOD(TIMEVALUE(CA5)+43/1440,1),"HH:MM")</f>
        <v/>
      </c>
      <c r="CB25" s="15">
        <f>TEXT(MOD(TIMEVALUE(CB5)+43/1440,1),"HH:MM")</f>
        <v/>
      </c>
      <c r="CC25" s="15">
        <f>TEXT(MOD(TIMEVALUE(CC5)+43/1440,1),"HH:MM")</f>
        <v/>
      </c>
      <c r="CD25" s="15">
        <f>TEXT(MOD(TIMEVALUE(CD5)+43/1440,1),"HH:MM")</f>
        <v/>
      </c>
      <c r="CE25" s="15">
        <f>TEXT(MOD(TIMEVALUE(CE5)+43/1440,1),"HH:MM")</f>
        <v/>
      </c>
      <c r="CF25" s="15">
        <f>TEXT(MOD(TIMEVALUE(CF5)+43/1440,1),"HH:MM")</f>
        <v/>
      </c>
      <c r="CG25" s="15">
        <f>TEXT(MOD(TIMEVALUE(CG5)+43/1440,1),"HH:MM")</f>
        <v/>
      </c>
      <c r="CH25" s="15">
        <f>TEXT(MOD(TIMEVALUE(CH5)+43/1440,1),"HH:MM")</f>
        <v/>
      </c>
      <c r="CI25" s="15">
        <f>TEXT(MOD(TIMEVALUE(CI5)+43/1440,1),"HH:MM")</f>
        <v/>
      </c>
      <c r="CJ25" s="15">
        <f>TEXT(MOD(TIMEVALUE(CJ5)+43/1440,1),"HH:MM")</f>
        <v/>
      </c>
      <c r="CK25" s="15">
        <f>TEXT(MOD(TIMEVALUE(CK5)+43/1440,1),"HH:MM")</f>
        <v/>
      </c>
      <c r="CL25" s="15">
        <f>TEXT(MOD(TIMEVALUE(CL5)+43/1440,1),"HH:MM")</f>
        <v/>
      </c>
      <c r="CM25" s="15">
        <f>TEXT(MOD(TIMEVALUE(CM5)+43/1440,1),"HH:MM")</f>
        <v/>
      </c>
      <c r="CN25" s="15">
        <f>TEXT(MOD(TIMEVALUE(CN5)+43/1440,1),"HH:MM")</f>
        <v/>
      </c>
      <c r="CO25" s="15">
        <f>TEXT(MOD(TIMEVALUE(CO5)+43/1440,1),"HH:MM")</f>
        <v/>
      </c>
    </row>
    <row r="26" ht="16.5" customHeight="1" s="26">
      <c r="A26" s="22" t="inlineStr">
        <is>
          <t>Sargento Cabral</t>
        </is>
      </c>
      <c r="B26" s="13">
        <f>TEXT(MOD(TIMEVALUE(B5)+45/1440,1),"HH:MM")</f>
        <v/>
      </c>
      <c r="C26" s="13">
        <f>TEXT(MOD(TIMEVALUE(C5)+45/1440,1),"HH:MM")</f>
        <v/>
      </c>
      <c r="D26" s="13">
        <f>TEXT(MOD(TIMEVALUE(D5)+45/1440,1),"HH:MM")</f>
        <v/>
      </c>
      <c r="E26" s="13">
        <f>TEXT(MOD(TIMEVALUE(E5)+45/1440,1),"HH:MM")</f>
        <v/>
      </c>
      <c r="F26" s="13">
        <f>TEXT(MOD(TIMEVALUE(F5)+45/1440,1),"HH:MM")</f>
        <v/>
      </c>
      <c r="G26" s="13">
        <f>TEXT(MOD(TIMEVALUE(G5)+45/1440,1),"HH:MM")</f>
        <v/>
      </c>
      <c r="H26" s="13">
        <f>TEXT(MOD(TIMEVALUE(H5)+45/1440,1),"HH:MM")</f>
        <v/>
      </c>
      <c r="I26" s="13">
        <f>TEXT(MOD(TIMEVALUE(I5)+45/1440,1),"HH:MM")</f>
        <v/>
      </c>
      <c r="J26" s="13">
        <f>TEXT(MOD(TIMEVALUE(J5)+45/1440,1),"HH:MM")</f>
        <v/>
      </c>
      <c r="K26" s="13">
        <f>TEXT(MOD(TIMEVALUE(K5)+45/1440,1),"HH:MM")</f>
        <v/>
      </c>
      <c r="L26" s="13">
        <f>TEXT(MOD(TIMEVALUE(L5)+45/1440,1),"HH:MM")</f>
        <v/>
      </c>
      <c r="M26" s="13">
        <f>TEXT(MOD(TIMEVALUE(M5)+45/1440,1),"HH:MM")</f>
        <v/>
      </c>
      <c r="N26" s="13">
        <f>TEXT(MOD(TIMEVALUE(N5)+45/1440,1),"HH:MM")</f>
        <v/>
      </c>
      <c r="O26" s="13">
        <f>TEXT(MOD(TIMEVALUE(O5)+45/1440,1),"HH:MM")</f>
        <v/>
      </c>
      <c r="P26" s="13">
        <f>TEXT(MOD(TIMEVALUE(P5)+45/1440,1),"HH:MM")</f>
        <v/>
      </c>
      <c r="Q26" s="13">
        <f>TEXT(MOD(TIMEVALUE(Q5)+45/1440,1),"HH:MM")</f>
        <v/>
      </c>
      <c r="R26" s="13">
        <f>TEXT(MOD(TIMEVALUE(R5)+45/1440,1),"HH:MM")</f>
        <v/>
      </c>
      <c r="S26" s="13">
        <f>TEXT(MOD(TIMEVALUE(S5)+45/1440,1),"HH:MM")</f>
        <v/>
      </c>
      <c r="T26" s="13">
        <f>TEXT(MOD(TIMEVALUE(T5)+45/1440,1),"HH:MM")</f>
        <v/>
      </c>
      <c r="U26" s="13">
        <f>TEXT(MOD(TIMEVALUE(U5)+45/1440,1),"HH:MM")</f>
        <v/>
      </c>
      <c r="V26" s="13">
        <f>TEXT(MOD(TIMEVALUE(V5)+45/1440,1),"HH:MM")</f>
        <v/>
      </c>
      <c r="W26" s="13">
        <f>TEXT(MOD(TIMEVALUE(W5)+45/1440,1),"HH:MM")</f>
        <v/>
      </c>
      <c r="X26" s="13">
        <f>TEXT(MOD(TIMEVALUE(X5)+45/1440,1),"HH:MM")</f>
        <v/>
      </c>
      <c r="Y26" s="13">
        <f>TEXT(MOD(TIMEVALUE(Y5)+45/1440,1),"HH:MM")</f>
        <v/>
      </c>
      <c r="Z26" s="13">
        <f>TEXT(MOD(TIMEVALUE(Z5)+45/1440,1),"HH:MM")</f>
        <v/>
      </c>
      <c r="AA26" s="13">
        <f>TEXT(MOD(TIMEVALUE(AA5)+45/1440,1),"HH:MM")</f>
        <v/>
      </c>
      <c r="AB26" s="13">
        <f>TEXT(MOD(TIMEVALUE(AB5)+45/1440,1),"HH:MM")</f>
        <v/>
      </c>
      <c r="AC26" s="13">
        <f>TEXT(MOD(TIMEVALUE(AC5)+45/1440,1),"HH:MM")</f>
        <v/>
      </c>
      <c r="AD26" s="13">
        <f>TEXT(MOD(TIMEVALUE(AD5)+45/1440,1),"HH:MM")</f>
        <v/>
      </c>
      <c r="AE26" s="13">
        <f>TEXT(MOD(TIMEVALUE(AE5)+45/1440,1),"HH:MM")</f>
        <v/>
      </c>
      <c r="AF26" s="13">
        <f>TEXT(MOD(TIMEVALUE(AF5)+45/1440,1),"HH:MM")</f>
        <v/>
      </c>
      <c r="AG26" s="13">
        <f>TEXT(MOD(TIMEVALUE(AG5)+45/1440,1),"HH:MM")</f>
        <v/>
      </c>
      <c r="AH26" s="13">
        <f>TEXT(MOD(TIMEVALUE(AH5)+45/1440,1),"HH:MM")</f>
        <v/>
      </c>
      <c r="AI26" s="13">
        <f>TEXT(MOD(TIMEVALUE(AI5)+45/1440,1),"HH:MM")</f>
        <v/>
      </c>
      <c r="AJ26" s="13">
        <f>TEXT(MOD(TIMEVALUE(AJ5)+45/1440,1),"HH:MM")</f>
        <v/>
      </c>
      <c r="AK26" s="13">
        <f>TEXT(MOD(TIMEVALUE(AK5)+45/1440,1),"HH:MM")</f>
        <v/>
      </c>
      <c r="AL26" s="13">
        <f>TEXT(MOD(TIMEVALUE(AL5)+45/1440,1),"HH:MM")</f>
        <v/>
      </c>
      <c r="AM26" s="13">
        <f>TEXT(MOD(TIMEVALUE(AM5)+45/1440,1),"HH:MM")</f>
        <v/>
      </c>
      <c r="AN26" s="13">
        <f>TEXT(MOD(TIMEVALUE(AN5)+45/1440,1),"HH:MM")</f>
        <v/>
      </c>
      <c r="AO26" s="13">
        <f>TEXT(MOD(TIMEVALUE(AO5)+45/1440,1),"HH:MM")</f>
        <v/>
      </c>
      <c r="AP26" s="13">
        <f>TEXT(MOD(TIMEVALUE(AP5)+45/1440,1),"HH:MM")</f>
        <v/>
      </c>
      <c r="AQ26" s="13">
        <f>TEXT(MOD(TIMEVALUE(AQ5)+45/1440,1),"HH:MM")</f>
        <v/>
      </c>
      <c r="AR26" s="13">
        <f>TEXT(MOD(TIMEVALUE(AR5)+45/1440,1),"HH:MM")</f>
        <v/>
      </c>
      <c r="AS26" s="13">
        <f>TEXT(MOD(TIMEVALUE(AS5)+45/1440,1),"HH:MM")</f>
        <v/>
      </c>
      <c r="AT26" s="13">
        <f>TEXT(MOD(TIMEVALUE(AT5)+45/1440,1),"HH:MM")</f>
        <v/>
      </c>
      <c r="AU26" s="13">
        <f>TEXT(MOD(TIMEVALUE(AU5)+45/1440,1),"HH:MM")</f>
        <v/>
      </c>
      <c r="AV26" s="13">
        <f>TEXT(MOD(TIMEVALUE(AV5)+45/1440,1),"HH:MM")</f>
        <v/>
      </c>
      <c r="AW26" s="13">
        <f>TEXT(MOD(TIMEVALUE(AW5)+45/1440,1),"HH:MM")</f>
        <v/>
      </c>
      <c r="AX26" s="13">
        <f>TEXT(MOD(TIMEVALUE(AX5)+45/1440,1),"HH:MM")</f>
        <v/>
      </c>
      <c r="AY26" s="13">
        <f>TEXT(MOD(TIMEVALUE(AY5)+45/1440,1),"HH:MM")</f>
        <v/>
      </c>
      <c r="AZ26" s="13">
        <f>TEXT(MOD(TIMEVALUE(AZ5)+45/1440,1),"HH:MM")</f>
        <v/>
      </c>
      <c r="BA26" s="13">
        <f>TEXT(MOD(TIMEVALUE(BA5)+45/1440,1),"HH:MM")</f>
        <v/>
      </c>
      <c r="BB26" s="13">
        <f>TEXT(MOD(TIMEVALUE(BB5)+45/1440,1),"HH:MM")</f>
        <v/>
      </c>
      <c r="BC26" s="13">
        <f>TEXT(MOD(TIMEVALUE(BC5)+45/1440,1),"HH:MM")</f>
        <v/>
      </c>
      <c r="BD26" s="13">
        <f>TEXT(MOD(TIMEVALUE(BD5)+45/1440,1),"HH:MM")</f>
        <v/>
      </c>
      <c r="BE26" s="13">
        <f>TEXT(MOD(TIMEVALUE(BE5)+45/1440,1),"HH:MM")</f>
        <v/>
      </c>
      <c r="BF26" s="13">
        <f>TEXT(MOD(TIMEVALUE(BF5)+45/1440,1),"HH:MM")</f>
        <v/>
      </c>
      <c r="BG26" s="13">
        <f>TEXT(MOD(TIMEVALUE(BG5)+45/1440,1),"HH:MM")</f>
        <v/>
      </c>
      <c r="BH26" s="13">
        <f>TEXT(MOD(TIMEVALUE(BH5)+45/1440,1),"HH:MM")</f>
        <v/>
      </c>
      <c r="BI26" s="13">
        <f>TEXT(MOD(TIMEVALUE(BI5)+45/1440,1),"HH:MM")</f>
        <v/>
      </c>
      <c r="BJ26" s="13">
        <f>TEXT(MOD(TIMEVALUE(BJ5)+45/1440,1),"HH:MM")</f>
        <v/>
      </c>
      <c r="BK26" s="13">
        <f>TEXT(MOD(TIMEVALUE(BK5)+45/1440,1),"HH:MM")</f>
        <v/>
      </c>
      <c r="BL26" s="13">
        <f>TEXT(MOD(TIMEVALUE(BL5)+45/1440,1),"HH:MM")</f>
        <v/>
      </c>
      <c r="BM26" s="13">
        <f>TEXT(MOD(TIMEVALUE(BM5)+45/1440,1),"HH:MM")</f>
        <v/>
      </c>
      <c r="BN26" s="13">
        <f>TEXT(MOD(TIMEVALUE(BN5)+45/1440,1),"HH:MM")</f>
        <v/>
      </c>
      <c r="BO26" s="13">
        <f>TEXT(MOD(TIMEVALUE(BO5)+45/1440,1),"HH:MM")</f>
        <v/>
      </c>
      <c r="BP26" s="13">
        <f>TEXT(MOD(TIMEVALUE(BP5)+45/1440,1),"HH:MM")</f>
        <v/>
      </c>
      <c r="BQ26" s="13">
        <f>TEXT(MOD(TIMEVALUE(BQ5)+45/1440,1),"HH:MM")</f>
        <v/>
      </c>
      <c r="BR26" s="13">
        <f>TEXT(MOD(TIMEVALUE(BR5)+45/1440,1),"HH:MM")</f>
        <v/>
      </c>
      <c r="BS26" s="13">
        <f>TEXT(MOD(TIMEVALUE(BS5)+45/1440,1),"HH:MM")</f>
        <v/>
      </c>
      <c r="BT26" s="13">
        <f>TEXT(MOD(TIMEVALUE(BT5)+45/1440,1),"HH:MM")</f>
        <v/>
      </c>
      <c r="BU26" s="13">
        <f>TEXT(MOD(TIMEVALUE(BU5)+45/1440,1),"HH:MM")</f>
        <v/>
      </c>
      <c r="BV26" s="13">
        <f>TEXT(MOD(TIMEVALUE(BV5)+45/1440,1),"HH:MM")</f>
        <v/>
      </c>
      <c r="BW26" s="13">
        <f>TEXT(MOD(TIMEVALUE(BW5)+45/1440,1),"HH:MM")</f>
        <v/>
      </c>
      <c r="BX26" s="13">
        <f>TEXT(MOD(TIMEVALUE(BX5)+45/1440,1),"HH:MM")</f>
        <v/>
      </c>
      <c r="BY26" s="13">
        <f>TEXT(MOD(TIMEVALUE(BY5)+45/1440,1),"HH:MM")</f>
        <v/>
      </c>
      <c r="BZ26" s="13">
        <f>TEXT(MOD(TIMEVALUE(BZ5)+45/1440,1),"HH:MM")</f>
        <v/>
      </c>
      <c r="CA26" s="13">
        <f>TEXT(MOD(TIMEVALUE(CA5)+45/1440,1),"HH:MM")</f>
        <v/>
      </c>
      <c r="CB26" s="13">
        <f>TEXT(MOD(TIMEVALUE(CB5)+45/1440,1),"HH:MM")</f>
        <v/>
      </c>
      <c r="CC26" s="13">
        <f>TEXT(MOD(TIMEVALUE(CC5)+45/1440,1),"HH:MM")</f>
        <v/>
      </c>
      <c r="CD26" s="13">
        <f>TEXT(MOD(TIMEVALUE(CD5)+45/1440,1),"HH:MM")</f>
        <v/>
      </c>
      <c r="CE26" s="13">
        <f>TEXT(MOD(TIMEVALUE(CE5)+45/1440,1),"HH:MM")</f>
        <v/>
      </c>
      <c r="CF26" s="13">
        <f>TEXT(MOD(TIMEVALUE(CF5)+45/1440,1),"HH:MM")</f>
        <v/>
      </c>
      <c r="CG26" s="13">
        <f>TEXT(MOD(TIMEVALUE(CG5)+45/1440,1),"HH:MM")</f>
        <v/>
      </c>
      <c r="CH26" s="13">
        <f>TEXT(MOD(TIMEVALUE(CH5)+45/1440,1),"HH:MM")</f>
        <v/>
      </c>
      <c r="CI26" s="13">
        <f>TEXT(MOD(TIMEVALUE(CI5)+45/1440,1),"HH:MM")</f>
        <v/>
      </c>
      <c r="CJ26" s="13">
        <f>TEXT(MOD(TIMEVALUE(CJ5)+45/1440,1),"HH:MM")</f>
        <v/>
      </c>
      <c r="CK26" s="13">
        <f>TEXT(MOD(TIMEVALUE(CK5)+45/1440,1),"HH:MM")</f>
        <v/>
      </c>
      <c r="CL26" s="13">
        <f>TEXT(MOD(TIMEVALUE(CL5)+45/1440,1),"HH:MM")</f>
        <v/>
      </c>
      <c r="CM26" s="13">
        <f>TEXT(MOD(TIMEVALUE(CM5)+45/1440,1),"HH:MM")</f>
        <v/>
      </c>
      <c r="CN26" s="13">
        <f>TEXT(MOD(TIMEVALUE(CN5)+45/1440,1),"HH:MM")</f>
        <v/>
      </c>
      <c r="CO26" s="13">
        <f>TEXT(MOD(TIMEVALUE(CO5)+45/1440,1),"HH:MM")</f>
        <v/>
      </c>
    </row>
    <row r="27" ht="16.5" customHeight="1" s="26">
      <c r="A27" s="23" t="inlineStr">
        <is>
          <t>General Lemos</t>
        </is>
      </c>
      <c r="B27" s="15">
        <f>TEXT(MOD(TIMEVALUE(B5)+48/1440,1),"HH:MM")</f>
        <v/>
      </c>
      <c r="C27" s="15">
        <f>TEXT(MOD(TIMEVALUE(C5)+48/1440,1),"HH:MM")</f>
        <v/>
      </c>
      <c r="D27" s="15">
        <f>TEXT(MOD(TIMEVALUE(D5)+48/1440,1),"HH:MM")</f>
        <v/>
      </c>
      <c r="E27" s="15">
        <f>TEXT(MOD(TIMEVALUE(E5)+48/1440,1),"HH:MM")</f>
        <v/>
      </c>
      <c r="F27" s="15">
        <f>TEXT(MOD(TIMEVALUE(F5)+48/1440,1),"HH:MM")</f>
        <v/>
      </c>
      <c r="G27" s="15">
        <f>TEXT(MOD(TIMEVALUE(G5)+48/1440,1),"HH:MM")</f>
        <v/>
      </c>
      <c r="H27" s="15">
        <f>TEXT(MOD(TIMEVALUE(H5)+48/1440,1),"HH:MM")</f>
        <v/>
      </c>
      <c r="I27" s="15">
        <f>TEXT(MOD(TIMEVALUE(I5)+48/1440,1),"HH:MM")</f>
        <v/>
      </c>
      <c r="J27" s="15">
        <f>TEXT(MOD(TIMEVALUE(J5)+48/1440,1),"HH:MM")</f>
        <v/>
      </c>
      <c r="K27" s="15">
        <f>TEXT(MOD(TIMEVALUE(K5)+48/1440,1),"HH:MM")</f>
        <v/>
      </c>
      <c r="L27" s="15">
        <f>TEXT(MOD(TIMEVALUE(L5)+48/1440,1),"HH:MM")</f>
        <v/>
      </c>
      <c r="M27" s="15">
        <f>TEXT(MOD(TIMEVALUE(M5)+48/1440,1),"HH:MM")</f>
        <v/>
      </c>
      <c r="N27" s="15">
        <f>TEXT(MOD(TIMEVALUE(N5)+48/1440,1),"HH:MM")</f>
        <v/>
      </c>
      <c r="O27" s="15">
        <f>TEXT(MOD(TIMEVALUE(O5)+48/1440,1),"HH:MM")</f>
        <v/>
      </c>
      <c r="P27" s="15">
        <f>TEXT(MOD(TIMEVALUE(P5)+48/1440,1),"HH:MM")</f>
        <v/>
      </c>
      <c r="Q27" s="15">
        <f>TEXT(MOD(TIMEVALUE(Q5)+48/1440,1),"HH:MM")</f>
        <v/>
      </c>
      <c r="R27" s="15">
        <f>TEXT(MOD(TIMEVALUE(R5)+48/1440,1),"HH:MM")</f>
        <v/>
      </c>
      <c r="S27" s="15">
        <f>TEXT(MOD(TIMEVALUE(S5)+48/1440,1),"HH:MM")</f>
        <v/>
      </c>
      <c r="T27" s="15">
        <f>TEXT(MOD(TIMEVALUE(T5)+48/1440,1),"HH:MM")</f>
        <v/>
      </c>
      <c r="U27" s="15">
        <f>TEXT(MOD(TIMEVALUE(U5)+48/1440,1),"HH:MM")</f>
        <v/>
      </c>
      <c r="V27" s="15">
        <f>TEXT(MOD(TIMEVALUE(V5)+48/1440,1),"HH:MM")</f>
        <v/>
      </c>
      <c r="W27" s="15">
        <f>TEXT(MOD(TIMEVALUE(W5)+48/1440,1),"HH:MM")</f>
        <v/>
      </c>
      <c r="X27" s="15">
        <f>TEXT(MOD(TIMEVALUE(X5)+48/1440,1),"HH:MM")</f>
        <v/>
      </c>
      <c r="Y27" s="15">
        <f>TEXT(MOD(TIMEVALUE(Y5)+48/1440,1),"HH:MM")</f>
        <v/>
      </c>
      <c r="Z27" s="15">
        <f>TEXT(MOD(TIMEVALUE(Z5)+48/1440,1),"HH:MM")</f>
        <v/>
      </c>
      <c r="AA27" s="15">
        <f>TEXT(MOD(TIMEVALUE(AA5)+48/1440,1),"HH:MM")</f>
        <v/>
      </c>
      <c r="AB27" s="15">
        <f>TEXT(MOD(TIMEVALUE(AB5)+48/1440,1),"HH:MM")</f>
        <v/>
      </c>
      <c r="AC27" s="15">
        <f>TEXT(MOD(TIMEVALUE(AC5)+48/1440,1),"HH:MM")</f>
        <v/>
      </c>
      <c r="AD27" s="15">
        <f>TEXT(MOD(TIMEVALUE(AD5)+48/1440,1),"HH:MM")</f>
        <v/>
      </c>
      <c r="AE27" s="15">
        <f>TEXT(MOD(TIMEVALUE(AE5)+48/1440,1),"HH:MM")</f>
        <v/>
      </c>
      <c r="AF27" s="15">
        <f>TEXT(MOD(TIMEVALUE(AF5)+48/1440,1),"HH:MM")</f>
        <v/>
      </c>
      <c r="AG27" s="15">
        <f>TEXT(MOD(TIMEVALUE(AG5)+48/1440,1),"HH:MM")</f>
        <v/>
      </c>
      <c r="AH27" s="15">
        <f>TEXT(MOD(TIMEVALUE(AH5)+48/1440,1),"HH:MM")</f>
        <v/>
      </c>
      <c r="AI27" s="15">
        <f>TEXT(MOD(TIMEVALUE(AI5)+48/1440,1),"HH:MM")</f>
        <v/>
      </c>
      <c r="AJ27" s="15">
        <f>TEXT(MOD(TIMEVALUE(AJ5)+48/1440,1),"HH:MM")</f>
        <v/>
      </c>
      <c r="AK27" s="15">
        <f>TEXT(MOD(TIMEVALUE(AK5)+48/1440,1),"HH:MM")</f>
        <v/>
      </c>
      <c r="AL27" s="15">
        <f>TEXT(MOD(TIMEVALUE(AL5)+48/1440,1),"HH:MM")</f>
        <v/>
      </c>
      <c r="AM27" s="15">
        <f>TEXT(MOD(TIMEVALUE(AM5)+48/1440,1),"HH:MM")</f>
        <v/>
      </c>
      <c r="AN27" s="15">
        <f>TEXT(MOD(TIMEVALUE(AN5)+48/1440,1),"HH:MM")</f>
        <v/>
      </c>
      <c r="AO27" s="15">
        <f>TEXT(MOD(TIMEVALUE(AO5)+48/1440,1),"HH:MM")</f>
        <v/>
      </c>
      <c r="AP27" s="15">
        <f>TEXT(MOD(TIMEVALUE(AP5)+48/1440,1),"HH:MM")</f>
        <v/>
      </c>
      <c r="AQ27" s="15">
        <f>TEXT(MOD(TIMEVALUE(AQ5)+48/1440,1),"HH:MM")</f>
        <v/>
      </c>
      <c r="AR27" s="15">
        <f>TEXT(MOD(TIMEVALUE(AR5)+48/1440,1),"HH:MM")</f>
        <v/>
      </c>
      <c r="AS27" s="15">
        <f>TEXT(MOD(TIMEVALUE(AS5)+48/1440,1),"HH:MM")</f>
        <v/>
      </c>
      <c r="AT27" s="15">
        <f>TEXT(MOD(TIMEVALUE(AT5)+48/1440,1),"HH:MM")</f>
        <v/>
      </c>
      <c r="AU27" s="15">
        <f>TEXT(MOD(TIMEVALUE(AU5)+48/1440,1),"HH:MM")</f>
        <v/>
      </c>
      <c r="AV27" s="15">
        <f>TEXT(MOD(TIMEVALUE(AV5)+48/1440,1),"HH:MM")</f>
        <v/>
      </c>
      <c r="AW27" s="15">
        <f>TEXT(MOD(TIMEVALUE(AW5)+48/1440,1),"HH:MM")</f>
        <v/>
      </c>
      <c r="AX27" s="15">
        <f>TEXT(MOD(TIMEVALUE(AX5)+48/1440,1),"HH:MM")</f>
        <v/>
      </c>
      <c r="AY27" s="15">
        <f>TEXT(MOD(TIMEVALUE(AY5)+48/1440,1),"HH:MM")</f>
        <v/>
      </c>
      <c r="AZ27" s="15">
        <f>TEXT(MOD(TIMEVALUE(AZ5)+48/1440,1),"HH:MM")</f>
        <v/>
      </c>
      <c r="BA27" s="15">
        <f>TEXT(MOD(TIMEVALUE(BA5)+48/1440,1),"HH:MM")</f>
        <v/>
      </c>
      <c r="BB27" s="15">
        <f>TEXT(MOD(TIMEVALUE(BB5)+48/1440,1),"HH:MM")</f>
        <v/>
      </c>
      <c r="BC27" s="15">
        <f>TEXT(MOD(TIMEVALUE(BC5)+48/1440,1),"HH:MM")</f>
        <v/>
      </c>
      <c r="BD27" s="15">
        <f>TEXT(MOD(TIMEVALUE(BD5)+48/1440,1),"HH:MM")</f>
        <v/>
      </c>
      <c r="BE27" s="15">
        <f>TEXT(MOD(TIMEVALUE(BE5)+48/1440,1),"HH:MM")</f>
        <v/>
      </c>
      <c r="BF27" s="15">
        <f>TEXT(MOD(TIMEVALUE(BF5)+48/1440,1),"HH:MM")</f>
        <v/>
      </c>
      <c r="BG27" s="15">
        <f>TEXT(MOD(TIMEVALUE(BG5)+48/1440,1),"HH:MM")</f>
        <v/>
      </c>
      <c r="BH27" s="15">
        <f>TEXT(MOD(TIMEVALUE(BH5)+48/1440,1),"HH:MM")</f>
        <v/>
      </c>
      <c r="BI27" s="15">
        <f>TEXT(MOD(TIMEVALUE(BI5)+48/1440,1),"HH:MM")</f>
        <v/>
      </c>
      <c r="BJ27" s="15">
        <f>TEXT(MOD(TIMEVALUE(BJ5)+48/1440,1),"HH:MM")</f>
        <v/>
      </c>
      <c r="BK27" s="15">
        <f>TEXT(MOD(TIMEVALUE(BK5)+48/1440,1),"HH:MM")</f>
        <v/>
      </c>
      <c r="BL27" s="15">
        <f>TEXT(MOD(TIMEVALUE(BL5)+48/1440,1),"HH:MM")</f>
        <v/>
      </c>
      <c r="BM27" s="15">
        <f>TEXT(MOD(TIMEVALUE(BM5)+48/1440,1),"HH:MM")</f>
        <v/>
      </c>
      <c r="BN27" s="15">
        <f>TEXT(MOD(TIMEVALUE(BN5)+48/1440,1),"HH:MM")</f>
        <v/>
      </c>
      <c r="BO27" s="15">
        <f>TEXT(MOD(TIMEVALUE(BO5)+48/1440,1),"HH:MM")</f>
        <v/>
      </c>
      <c r="BP27" s="15">
        <f>TEXT(MOD(TIMEVALUE(BP5)+48/1440,1),"HH:MM")</f>
        <v/>
      </c>
      <c r="BQ27" s="15">
        <f>TEXT(MOD(TIMEVALUE(BQ5)+48/1440,1),"HH:MM")</f>
        <v/>
      </c>
      <c r="BR27" s="15">
        <f>TEXT(MOD(TIMEVALUE(BR5)+48/1440,1),"HH:MM")</f>
        <v/>
      </c>
      <c r="BS27" s="15">
        <f>TEXT(MOD(TIMEVALUE(BS5)+48/1440,1),"HH:MM")</f>
        <v/>
      </c>
      <c r="BT27" s="15">
        <f>TEXT(MOD(TIMEVALUE(BT5)+48/1440,1),"HH:MM")</f>
        <v/>
      </c>
      <c r="BU27" s="15">
        <f>TEXT(MOD(TIMEVALUE(BU5)+48/1440,1),"HH:MM")</f>
        <v/>
      </c>
      <c r="BV27" s="15">
        <f>TEXT(MOD(TIMEVALUE(BV5)+48/1440,1),"HH:MM")</f>
        <v/>
      </c>
      <c r="BW27" s="15">
        <f>TEXT(MOD(TIMEVALUE(BW5)+48/1440,1),"HH:MM")</f>
        <v/>
      </c>
      <c r="BX27" s="15">
        <f>TEXT(MOD(TIMEVALUE(BX5)+48/1440,1),"HH:MM")</f>
        <v/>
      </c>
      <c r="BY27" s="15">
        <f>TEXT(MOD(TIMEVALUE(BY5)+48/1440,1),"HH:MM")</f>
        <v/>
      </c>
      <c r="BZ27" s="15">
        <f>TEXT(MOD(TIMEVALUE(BZ5)+48/1440,1),"HH:MM")</f>
        <v/>
      </c>
      <c r="CA27" s="15">
        <f>TEXT(MOD(TIMEVALUE(CA5)+48/1440,1),"HH:MM")</f>
        <v/>
      </c>
      <c r="CB27" s="15">
        <f>TEXT(MOD(TIMEVALUE(CB5)+48/1440,1),"HH:MM")</f>
        <v/>
      </c>
      <c r="CC27" s="15">
        <f>TEXT(MOD(TIMEVALUE(CC5)+48/1440,1),"HH:MM")</f>
        <v/>
      </c>
      <c r="CD27" s="15">
        <f>TEXT(MOD(TIMEVALUE(CD5)+48/1440,1),"HH:MM")</f>
        <v/>
      </c>
      <c r="CE27" s="15">
        <f>TEXT(MOD(TIMEVALUE(CE5)+48/1440,1),"HH:MM")</f>
        <v/>
      </c>
      <c r="CF27" s="15">
        <f>TEXT(MOD(TIMEVALUE(CF5)+48/1440,1),"HH:MM")</f>
        <v/>
      </c>
      <c r="CG27" s="15">
        <f>TEXT(MOD(TIMEVALUE(CG5)+48/1440,1),"HH:MM")</f>
        <v/>
      </c>
      <c r="CH27" s="15">
        <f>TEXT(MOD(TIMEVALUE(CH5)+48/1440,1),"HH:MM")</f>
        <v/>
      </c>
      <c r="CI27" s="15">
        <f>TEXT(MOD(TIMEVALUE(CI5)+48/1440,1),"HH:MM")</f>
        <v/>
      </c>
      <c r="CJ27" s="15">
        <f>TEXT(MOD(TIMEVALUE(CJ5)+48/1440,1),"HH:MM")</f>
        <v/>
      </c>
      <c r="CK27" s="15">
        <f>TEXT(MOD(TIMEVALUE(CK5)+48/1440,1),"HH:MM")</f>
        <v/>
      </c>
      <c r="CL27" s="15">
        <f>TEXT(MOD(TIMEVALUE(CL5)+48/1440,1),"HH:MM")</f>
        <v/>
      </c>
      <c r="CM27" s="15">
        <f>TEXT(MOD(TIMEVALUE(CM5)+48/1440,1),"HH:MM")</f>
        <v/>
      </c>
      <c r="CN27" s="15">
        <f>TEXT(MOD(TIMEVALUE(CN5)+48/1440,1),"HH:MM")</f>
        <v/>
      </c>
      <c r="CO27" s="15">
        <f>TEXT(MOD(TIMEVALUE(CO5)+48/1440,1),"HH:MM")</f>
        <v/>
      </c>
    </row>
    <row r="28" ht="15.75" customHeight="1" s="26"/>
    <row r="29" ht="15.75" customHeight="1" s="26">
      <c r="A29" s="16" t="inlineStr">
        <is>
          <t>Fuente: Horario Mural Invierno 2026, Metrovías — metrovias.com.ar  |  Modificar la hora de salida en la fila de la estación de origen para recalcular todo el recorrido.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  <c r="AP29" s="16" t="n"/>
      <c r="AQ29" s="16" t="n"/>
      <c r="AR29" s="16" t="n"/>
      <c r="AS29" s="16" t="n"/>
      <c r="AT29" s="16" t="n"/>
      <c r="AU29" s="16" t="n"/>
      <c r="AV29" s="16" t="n"/>
      <c r="AW29" s="16" t="n"/>
      <c r="AX29" s="16" t="n"/>
      <c r="AY29" s="16" t="n"/>
      <c r="AZ29" s="16" t="n"/>
      <c r="BA29" s="16" t="n"/>
      <c r="BB29" s="16" t="n"/>
      <c r="BC29" s="16" t="n"/>
      <c r="BD29" s="16" t="n"/>
      <c r="BE29" s="16" t="n"/>
      <c r="BF29" s="16" t="n"/>
      <c r="BG29" s="16" t="n"/>
      <c r="BH29" s="16" t="n"/>
      <c r="BI29" s="16" t="n"/>
      <c r="BJ29" s="16" t="n"/>
      <c r="BK29" s="16" t="n"/>
      <c r="BL29" s="16" t="n"/>
      <c r="BM29" s="16" t="n"/>
      <c r="BN29" s="16" t="n"/>
      <c r="BO29" s="16" t="n"/>
      <c r="BP29" s="16" t="n"/>
      <c r="BQ29" s="16" t="n"/>
      <c r="BR29" s="16" t="n"/>
      <c r="BS29" s="16" t="n"/>
      <c r="BT29" s="16" t="n"/>
      <c r="BU29" s="16" t="n"/>
      <c r="BV29" s="16" t="n"/>
      <c r="BW29" s="16" t="n"/>
      <c r="BX29" s="16" t="n"/>
      <c r="BY29" s="16" t="n"/>
      <c r="BZ29" s="16" t="n"/>
      <c r="CA29" s="16" t="n"/>
      <c r="CB29" s="16" t="n"/>
      <c r="CC29" s="16" t="n"/>
      <c r="CD29" s="16" t="n"/>
      <c r="CE29" s="16" t="n"/>
      <c r="CF29" s="16" t="n"/>
      <c r="CG29" s="16" t="n"/>
      <c r="CH29" s="16" t="n"/>
      <c r="CI29" s="16" t="n"/>
      <c r="CJ29" s="16" t="n"/>
      <c r="CK29" s="16" t="n"/>
      <c r="CL29" s="16" t="n"/>
      <c r="CM29" s="16" t="n"/>
      <c r="CN29" s="16" t="n"/>
      <c r="CO29" s="16" t="n"/>
    </row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M29"/>
  <sheetViews>
    <sheetView showGridLines="0" workbookViewId="0">
      <selection activeCell="A1" sqref="A1"/>
    </sheetView>
  </sheetViews>
  <sheetFormatPr baseColWidth="8" defaultColWidth="14.43" defaultRowHeight="15" customHeight="1"/>
  <cols>
    <col width="24" customWidth="1" style="26" min="1" max="1"/>
    <col width="7" customWidth="1" style="26" min="2" max="65"/>
  </cols>
  <sheetData>
    <row r="1" ht="27.75" customHeight="1" s="26">
      <c r="A1" s="37" t="inlineStr">
        <is>
          <t>Tren Urquiza — Sábados → Lemos</t>
        </is>
      </c>
    </row>
    <row r="2" ht="15.75" customHeight="1" s="26">
      <c r="A2" s="38" t="inlineStr">
        <is>
          <t>Salida desde Federico Lacroze  |  Horario Mural Invierno 2026 — Metrovías</t>
        </is>
      </c>
    </row>
    <row r="3" ht="4.5" customHeight="1" s="26"/>
    <row r="4" ht="19.5" customHeight="1" s="26">
      <c r="A4" s="17" t="inlineStr">
        <is>
          <t>Estación</t>
        </is>
      </c>
      <c r="B4" s="18" t="inlineStr">
        <is>
          <t>01:00</t>
        </is>
      </c>
      <c r="C4" s="18" t="inlineStr">
        <is>
          <t>02:40</t>
        </is>
      </c>
      <c r="D4" s="18" t="inlineStr">
        <is>
          <t>03:35</t>
        </is>
      </c>
      <c r="E4" s="18" t="inlineStr">
        <is>
          <t>04:40</t>
        </is>
      </c>
      <c r="F4" s="18" t="inlineStr">
        <is>
          <t>05:00</t>
        </is>
      </c>
      <c r="G4" s="18" t="inlineStr">
        <is>
          <t>05:20</t>
        </is>
      </c>
      <c r="H4" s="18" t="inlineStr">
        <is>
          <t>05:40</t>
        </is>
      </c>
      <c r="I4" s="18" t="inlineStr">
        <is>
          <t>06:00</t>
        </is>
      </c>
      <c r="J4" s="18" t="inlineStr">
        <is>
          <t>06:15</t>
        </is>
      </c>
      <c r="K4" s="18" t="inlineStr">
        <is>
          <t>06:30</t>
        </is>
      </c>
      <c r="L4" s="18" t="inlineStr">
        <is>
          <t>06:45</t>
        </is>
      </c>
      <c r="M4" s="18" t="inlineStr">
        <is>
          <t>07:00</t>
        </is>
      </c>
      <c r="N4" s="18" t="inlineStr">
        <is>
          <t>07:15</t>
        </is>
      </c>
      <c r="O4" s="18" t="inlineStr">
        <is>
          <t>07:30</t>
        </is>
      </c>
      <c r="P4" s="18" t="inlineStr">
        <is>
          <t>07:45</t>
        </is>
      </c>
      <c r="Q4" s="18" t="inlineStr">
        <is>
          <t>08:00</t>
        </is>
      </c>
      <c r="R4" s="18" t="inlineStr">
        <is>
          <t>08:15</t>
        </is>
      </c>
      <c r="S4" s="18" t="inlineStr">
        <is>
          <t>08:30</t>
        </is>
      </c>
      <c r="T4" s="18" t="inlineStr">
        <is>
          <t>08:45</t>
        </is>
      </c>
      <c r="U4" s="18" t="inlineStr">
        <is>
          <t>09:00</t>
        </is>
      </c>
      <c r="V4" s="18" t="inlineStr">
        <is>
          <t>09:15</t>
        </is>
      </c>
      <c r="W4" s="18" t="inlineStr">
        <is>
          <t>09:30</t>
        </is>
      </c>
      <c r="X4" s="18" t="inlineStr">
        <is>
          <t>09:45</t>
        </is>
      </c>
      <c r="Y4" s="18" t="inlineStr">
        <is>
          <t>10:00</t>
        </is>
      </c>
      <c r="Z4" s="18" t="inlineStr">
        <is>
          <t>10:15</t>
        </is>
      </c>
      <c r="AA4" s="18" t="inlineStr">
        <is>
          <t>10:30</t>
        </is>
      </c>
      <c r="AB4" s="18" t="inlineStr">
        <is>
          <t>10:45</t>
        </is>
      </c>
      <c r="AC4" s="18" t="inlineStr">
        <is>
          <t>11:00</t>
        </is>
      </c>
      <c r="AD4" s="18" t="inlineStr">
        <is>
          <t>11:15</t>
        </is>
      </c>
      <c r="AE4" s="18" t="inlineStr">
        <is>
          <t>11:30</t>
        </is>
      </c>
      <c r="AF4" s="18" t="inlineStr">
        <is>
          <t>11:45</t>
        </is>
      </c>
      <c r="AG4" s="18" t="inlineStr">
        <is>
          <t>12:00</t>
        </is>
      </c>
      <c r="AH4" s="18" t="inlineStr">
        <is>
          <t>12:20</t>
        </is>
      </c>
      <c r="AI4" s="18" t="inlineStr">
        <is>
          <t>12:40</t>
        </is>
      </c>
      <c r="AJ4" s="18" t="inlineStr">
        <is>
          <t>13:00</t>
        </is>
      </c>
      <c r="AK4" s="18" t="inlineStr">
        <is>
          <t>13:20</t>
        </is>
      </c>
      <c r="AL4" s="18" t="inlineStr">
        <is>
          <t>13:40</t>
        </is>
      </c>
      <c r="AM4" s="18" t="inlineStr">
        <is>
          <t>14:00</t>
        </is>
      </c>
      <c r="AN4" s="18" t="inlineStr">
        <is>
          <t>14:20</t>
        </is>
      </c>
      <c r="AO4" s="18" t="inlineStr">
        <is>
          <t>14:40</t>
        </is>
      </c>
      <c r="AP4" s="18" t="inlineStr">
        <is>
          <t>15:00</t>
        </is>
      </c>
      <c r="AQ4" s="18" t="inlineStr">
        <is>
          <t>15:20</t>
        </is>
      </c>
      <c r="AR4" s="18" t="inlineStr">
        <is>
          <t>15:40</t>
        </is>
      </c>
      <c r="AS4" s="18" t="inlineStr">
        <is>
          <t>16:00</t>
        </is>
      </c>
      <c r="AT4" s="18" t="inlineStr">
        <is>
          <t>16:20</t>
        </is>
      </c>
      <c r="AU4" s="18" t="inlineStr">
        <is>
          <t>16:40</t>
        </is>
      </c>
      <c r="AV4" s="18" t="inlineStr">
        <is>
          <t>17:00</t>
        </is>
      </c>
      <c r="AW4" s="18" t="inlineStr">
        <is>
          <t>17:20</t>
        </is>
      </c>
      <c r="AX4" s="18" t="inlineStr">
        <is>
          <t>17:40</t>
        </is>
      </c>
      <c r="AY4" s="18" t="inlineStr">
        <is>
          <t>18:00</t>
        </is>
      </c>
      <c r="AZ4" s="18" t="inlineStr">
        <is>
          <t>18:20</t>
        </is>
      </c>
      <c r="BA4" s="18" t="inlineStr">
        <is>
          <t>18:40</t>
        </is>
      </c>
      <c r="BB4" s="18" t="inlineStr">
        <is>
          <t>19:00</t>
        </is>
      </c>
      <c r="BC4" s="18" t="inlineStr">
        <is>
          <t>19:20</t>
        </is>
      </c>
      <c r="BD4" s="18" t="inlineStr">
        <is>
          <t>19:40</t>
        </is>
      </c>
      <c r="BE4" s="18" t="inlineStr">
        <is>
          <t>20:00</t>
        </is>
      </c>
      <c r="BF4" s="18" t="inlineStr">
        <is>
          <t>20:23</t>
        </is>
      </c>
      <c r="BG4" s="18" t="inlineStr">
        <is>
          <t>20:53</t>
        </is>
      </c>
      <c r="BH4" s="18" t="inlineStr">
        <is>
          <t>21:23</t>
        </is>
      </c>
      <c r="BI4" s="18" t="inlineStr">
        <is>
          <t>21:53</t>
        </is>
      </c>
      <c r="BJ4" s="18" t="inlineStr">
        <is>
          <t>22:23</t>
        </is>
      </c>
      <c r="BK4" s="18" t="inlineStr">
        <is>
          <t>22:53</t>
        </is>
      </c>
      <c r="BL4" s="18" t="inlineStr">
        <is>
          <t>23:11</t>
        </is>
      </c>
      <c r="BM4" s="18" t="inlineStr">
        <is>
          <t>23:50</t>
        </is>
      </c>
    </row>
    <row r="5" ht="16.5" customHeight="1" s="26">
      <c r="A5" s="19" t="inlineStr">
        <is>
          <t>Federico Lacroze</t>
        </is>
      </c>
      <c r="B5" s="21" t="inlineStr">
        <is>
          <t>01:00</t>
        </is>
      </c>
      <c r="C5" s="21" t="inlineStr">
        <is>
          <t>02:40</t>
        </is>
      </c>
      <c r="D5" s="21" t="inlineStr">
        <is>
          <t>03:35</t>
        </is>
      </c>
      <c r="E5" s="21" t="inlineStr">
        <is>
          <t>04:40</t>
        </is>
      </c>
      <c r="F5" s="21" t="inlineStr">
        <is>
          <t>05:00</t>
        </is>
      </c>
      <c r="G5" s="21" t="inlineStr">
        <is>
          <t>05:20</t>
        </is>
      </c>
      <c r="H5" s="21" t="inlineStr">
        <is>
          <t>05:40</t>
        </is>
      </c>
      <c r="I5" s="21" t="inlineStr">
        <is>
          <t>06:00</t>
        </is>
      </c>
      <c r="J5" s="21" t="inlineStr">
        <is>
          <t>06:15</t>
        </is>
      </c>
      <c r="K5" s="21" t="inlineStr">
        <is>
          <t>06:30</t>
        </is>
      </c>
      <c r="L5" s="21" t="inlineStr">
        <is>
          <t>06:45</t>
        </is>
      </c>
      <c r="M5" s="21" t="inlineStr">
        <is>
          <t>07:00</t>
        </is>
      </c>
      <c r="N5" s="21" t="inlineStr">
        <is>
          <t>07:15</t>
        </is>
      </c>
      <c r="O5" s="21" t="inlineStr">
        <is>
          <t>07:30</t>
        </is>
      </c>
      <c r="P5" s="21" t="inlineStr">
        <is>
          <t>07:45</t>
        </is>
      </c>
      <c r="Q5" s="21" t="inlineStr">
        <is>
          <t>08:00</t>
        </is>
      </c>
      <c r="R5" s="21" t="inlineStr">
        <is>
          <t>08:15</t>
        </is>
      </c>
      <c r="S5" s="21" t="inlineStr">
        <is>
          <t>08:30</t>
        </is>
      </c>
      <c r="T5" s="21" t="inlineStr">
        <is>
          <t>08:45</t>
        </is>
      </c>
      <c r="U5" s="21" t="inlineStr">
        <is>
          <t>09:00</t>
        </is>
      </c>
      <c r="V5" s="21" t="inlineStr">
        <is>
          <t>09:15</t>
        </is>
      </c>
      <c r="W5" s="21" t="inlineStr">
        <is>
          <t>09:30</t>
        </is>
      </c>
      <c r="X5" s="21" t="inlineStr">
        <is>
          <t>09:45</t>
        </is>
      </c>
      <c r="Y5" s="21" t="inlineStr">
        <is>
          <t>10:00</t>
        </is>
      </c>
      <c r="Z5" s="21" t="inlineStr">
        <is>
          <t>10:15</t>
        </is>
      </c>
      <c r="AA5" s="21" t="inlineStr">
        <is>
          <t>10:30</t>
        </is>
      </c>
      <c r="AB5" s="21" t="inlineStr">
        <is>
          <t>10:45</t>
        </is>
      </c>
      <c r="AC5" s="21" t="inlineStr">
        <is>
          <t>11:00</t>
        </is>
      </c>
      <c r="AD5" s="21" t="inlineStr">
        <is>
          <t>11:15</t>
        </is>
      </c>
      <c r="AE5" s="21" t="inlineStr">
        <is>
          <t>11:30</t>
        </is>
      </c>
      <c r="AF5" s="21" t="inlineStr">
        <is>
          <t>11:45</t>
        </is>
      </c>
      <c r="AG5" s="21" t="inlineStr">
        <is>
          <t>12:00</t>
        </is>
      </c>
      <c r="AH5" s="21" t="inlineStr">
        <is>
          <t>12:20</t>
        </is>
      </c>
      <c r="AI5" s="21" t="inlineStr">
        <is>
          <t>12:40</t>
        </is>
      </c>
      <c r="AJ5" s="21" t="inlineStr">
        <is>
          <t>13:00</t>
        </is>
      </c>
      <c r="AK5" s="21" t="inlineStr">
        <is>
          <t>13:20</t>
        </is>
      </c>
      <c r="AL5" s="21" t="inlineStr">
        <is>
          <t>13:40</t>
        </is>
      </c>
      <c r="AM5" s="21" t="inlineStr">
        <is>
          <t>14:00</t>
        </is>
      </c>
      <c r="AN5" s="21" t="inlineStr">
        <is>
          <t>14:20</t>
        </is>
      </c>
      <c r="AO5" s="21" t="inlineStr">
        <is>
          <t>14:40</t>
        </is>
      </c>
      <c r="AP5" s="21" t="inlineStr">
        <is>
          <t>15:00</t>
        </is>
      </c>
      <c r="AQ5" s="21" t="inlineStr">
        <is>
          <t>15:20</t>
        </is>
      </c>
      <c r="AR5" s="21" t="inlineStr">
        <is>
          <t>15:40</t>
        </is>
      </c>
      <c r="AS5" s="21" t="inlineStr">
        <is>
          <t>16:00</t>
        </is>
      </c>
      <c r="AT5" s="21" t="inlineStr">
        <is>
          <t>16:20</t>
        </is>
      </c>
      <c r="AU5" s="21" t="inlineStr">
        <is>
          <t>16:40</t>
        </is>
      </c>
      <c r="AV5" s="21" t="inlineStr">
        <is>
          <t>17:00</t>
        </is>
      </c>
      <c r="AW5" s="21" t="inlineStr">
        <is>
          <t>17:20</t>
        </is>
      </c>
      <c r="AX5" s="21" t="inlineStr">
        <is>
          <t>17:40</t>
        </is>
      </c>
      <c r="AY5" s="21" t="inlineStr">
        <is>
          <t>18:00</t>
        </is>
      </c>
      <c r="AZ5" s="21" t="inlineStr">
        <is>
          <t>18:20</t>
        </is>
      </c>
      <c r="BA5" s="21" t="inlineStr">
        <is>
          <t>18:40</t>
        </is>
      </c>
      <c r="BB5" s="21" t="inlineStr">
        <is>
          <t>19:00</t>
        </is>
      </c>
      <c r="BC5" s="21" t="inlineStr">
        <is>
          <t>19:20</t>
        </is>
      </c>
      <c r="BD5" s="21" t="inlineStr">
        <is>
          <t>19:40</t>
        </is>
      </c>
      <c r="BE5" s="21" t="inlineStr">
        <is>
          <t>20:00</t>
        </is>
      </c>
      <c r="BF5" s="21" t="inlineStr">
        <is>
          <t>20:23</t>
        </is>
      </c>
      <c r="BG5" s="21" t="inlineStr">
        <is>
          <t>20:53</t>
        </is>
      </c>
      <c r="BH5" s="21" t="inlineStr">
        <is>
          <t>21:23</t>
        </is>
      </c>
      <c r="BI5" s="21" t="inlineStr">
        <is>
          <t>21:53</t>
        </is>
      </c>
      <c r="BJ5" s="21" t="inlineStr">
        <is>
          <t>22:23</t>
        </is>
      </c>
      <c r="BK5" s="21" t="inlineStr">
        <is>
          <t>22:53</t>
        </is>
      </c>
      <c r="BL5" s="21" t="inlineStr">
        <is>
          <t>23:11</t>
        </is>
      </c>
      <c r="BM5" s="21" t="inlineStr">
        <is>
          <t>23:50</t>
        </is>
      </c>
    </row>
    <row r="6" ht="16.5" customHeight="1" s="26">
      <c r="A6" s="22" t="inlineStr">
        <is>
          <t>José Artigas</t>
        </is>
      </c>
      <c r="B6" s="13">
        <f>TEXT(MOD(TIMEVALUE(B5)+3/1440,1),"HH:MM")</f>
        <v/>
      </c>
      <c r="C6" s="13">
        <f>TEXT(MOD(TIMEVALUE(C5)+3/1440,1),"HH:MM")</f>
        <v/>
      </c>
      <c r="D6" s="13">
        <f>TEXT(MOD(TIMEVALUE(D5)+3/1440,1),"HH:MM")</f>
        <v/>
      </c>
      <c r="E6" s="13">
        <f>TEXT(MOD(TIMEVALUE(E5)+3/1440,1),"HH:MM")</f>
        <v/>
      </c>
      <c r="F6" s="13">
        <f>TEXT(MOD(TIMEVALUE(F5)+3/1440,1),"HH:MM")</f>
        <v/>
      </c>
      <c r="G6" s="13">
        <f>TEXT(MOD(TIMEVALUE(G5)+3/1440,1),"HH:MM")</f>
        <v/>
      </c>
      <c r="H6" s="13">
        <f>TEXT(MOD(TIMEVALUE(H5)+3/1440,1),"HH:MM")</f>
        <v/>
      </c>
      <c r="I6" s="13">
        <f>TEXT(MOD(TIMEVALUE(I5)+3/1440,1),"HH:MM")</f>
        <v/>
      </c>
      <c r="J6" s="13">
        <f>TEXT(MOD(TIMEVALUE(J5)+3/1440,1),"HH:MM")</f>
        <v/>
      </c>
      <c r="K6" s="13">
        <f>TEXT(MOD(TIMEVALUE(K5)+3/1440,1),"HH:MM")</f>
        <v/>
      </c>
      <c r="L6" s="13">
        <f>TEXT(MOD(TIMEVALUE(L5)+3/1440,1),"HH:MM")</f>
        <v/>
      </c>
      <c r="M6" s="13">
        <f>TEXT(MOD(TIMEVALUE(M5)+3/1440,1),"HH:MM")</f>
        <v/>
      </c>
      <c r="N6" s="13">
        <f>TEXT(MOD(TIMEVALUE(N5)+3/1440,1),"HH:MM")</f>
        <v/>
      </c>
      <c r="O6" s="13">
        <f>TEXT(MOD(TIMEVALUE(O5)+3/1440,1),"HH:MM")</f>
        <v/>
      </c>
      <c r="P6" s="13">
        <f>TEXT(MOD(TIMEVALUE(P5)+3/1440,1),"HH:MM")</f>
        <v/>
      </c>
      <c r="Q6" s="13">
        <f>TEXT(MOD(TIMEVALUE(Q5)+3/1440,1),"HH:MM")</f>
        <v/>
      </c>
      <c r="R6" s="13">
        <f>TEXT(MOD(TIMEVALUE(R5)+3/1440,1),"HH:MM")</f>
        <v/>
      </c>
      <c r="S6" s="13">
        <f>TEXT(MOD(TIMEVALUE(S5)+3/1440,1),"HH:MM")</f>
        <v/>
      </c>
      <c r="T6" s="13">
        <f>TEXT(MOD(TIMEVALUE(T5)+3/1440,1),"HH:MM")</f>
        <v/>
      </c>
      <c r="U6" s="13">
        <f>TEXT(MOD(TIMEVALUE(U5)+3/1440,1),"HH:MM")</f>
        <v/>
      </c>
      <c r="V6" s="13">
        <f>TEXT(MOD(TIMEVALUE(V5)+3/1440,1),"HH:MM")</f>
        <v/>
      </c>
      <c r="W6" s="13">
        <f>TEXT(MOD(TIMEVALUE(W5)+3/1440,1),"HH:MM")</f>
        <v/>
      </c>
      <c r="X6" s="13">
        <f>TEXT(MOD(TIMEVALUE(X5)+3/1440,1),"HH:MM")</f>
        <v/>
      </c>
      <c r="Y6" s="13">
        <f>TEXT(MOD(TIMEVALUE(Y5)+3/1440,1),"HH:MM")</f>
        <v/>
      </c>
      <c r="Z6" s="13">
        <f>TEXT(MOD(TIMEVALUE(Z5)+3/1440,1),"HH:MM")</f>
        <v/>
      </c>
      <c r="AA6" s="13">
        <f>TEXT(MOD(TIMEVALUE(AA5)+3/1440,1),"HH:MM")</f>
        <v/>
      </c>
      <c r="AB6" s="13">
        <f>TEXT(MOD(TIMEVALUE(AB5)+3/1440,1),"HH:MM")</f>
        <v/>
      </c>
      <c r="AC6" s="13">
        <f>TEXT(MOD(TIMEVALUE(AC5)+3/1440,1),"HH:MM")</f>
        <v/>
      </c>
      <c r="AD6" s="13">
        <f>TEXT(MOD(TIMEVALUE(AD5)+3/1440,1),"HH:MM")</f>
        <v/>
      </c>
      <c r="AE6" s="13">
        <f>TEXT(MOD(TIMEVALUE(AE5)+3/1440,1),"HH:MM")</f>
        <v/>
      </c>
      <c r="AF6" s="13">
        <f>TEXT(MOD(TIMEVALUE(AF5)+3/1440,1),"HH:MM")</f>
        <v/>
      </c>
      <c r="AG6" s="13">
        <f>TEXT(MOD(TIMEVALUE(AG5)+3/1440,1),"HH:MM")</f>
        <v/>
      </c>
      <c r="AH6" s="13">
        <f>TEXT(MOD(TIMEVALUE(AH5)+3/1440,1),"HH:MM")</f>
        <v/>
      </c>
      <c r="AI6" s="13">
        <f>TEXT(MOD(TIMEVALUE(AI5)+3/1440,1),"HH:MM")</f>
        <v/>
      </c>
      <c r="AJ6" s="13">
        <f>TEXT(MOD(TIMEVALUE(AJ5)+3/1440,1),"HH:MM")</f>
        <v/>
      </c>
      <c r="AK6" s="13">
        <f>TEXT(MOD(TIMEVALUE(AK5)+3/1440,1),"HH:MM")</f>
        <v/>
      </c>
      <c r="AL6" s="13">
        <f>TEXT(MOD(TIMEVALUE(AL5)+3/1440,1),"HH:MM")</f>
        <v/>
      </c>
      <c r="AM6" s="13">
        <f>TEXT(MOD(TIMEVALUE(AM5)+3/1440,1),"HH:MM")</f>
        <v/>
      </c>
      <c r="AN6" s="13">
        <f>TEXT(MOD(TIMEVALUE(AN5)+3/1440,1),"HH:MM")</f>
        <v/>
      </c>
      <c r="AO6" s="13">
        <f>TEXT(MOD(TIMEVALUE(AO5)+3/1440,1),"HH:MM")</f>
        <v/>
      </c>
      <c r="AP6" s="13">
        <f>TEXT(MOD(TIMEVALUE(AP5)+3/1440,1),"HH:MM")</f>
        <v/>
      </c>
      <c r="AQ6" s="13">
        <f>TEXT(MOD(TIMEVALUE(AQ5)+3/1440,1),"HH:MM")</f>
        <v/>
      </c>
      <c r="AR6" s="13">
        <f>TEXT(MOD(TIMEVALUE(AR5)+3/1440,1),"HH:MM")</f>
        <v/>
      </c>
      <c r="AS6" s="13">
        <f>TEXT(MOD(TIMEVALUE(AS5)+3/1440,1),"HH:MM")</f>
        <v/>
      </c>
      <c r="AT6" s="13">
        <f>TEXT(MOD(TIMEVALUE(AT5)+3/1440,1),"HH:MM")</f>
        <v/>
      </c>
      <c r="AU6" s="13">
        <f>TEXT(MOD(TIMEVALUE(AU5)+3/1440,1),"HH:MM")</f>
        <v/>
      </c>
      <c r="AV6" s="13">
        <f>TEXT(MOD(TIMEVALUE(AV5)+3/1440,1),"HH:MM")</f>
        <v/>
      </c>
      <c r="AW6" s="13">
        <f>TEXT(MOD(TIMEVALUE(AW5)+3/1440,1),"HH:MM")</f>
        <v/>
      </c>
      <c r="AX6" s="13">
        <f>TEXT(MOD(TIMEVALUE(AX5)+3/1440,1),"HH:MM")</f>
        <v/>
      </c>
      <c r="AY6" s="13">
        <f>TEXT(MOD(TIMEVALUE(AY5)+3/1440,1),"HH:MM")</f>
        <v/>
      </c>
      <c r="AZ6" s="13">
        <f>TEXT(MOD(TIMEVALUE(AZ5)+3/1440,1),"HH:MM")</f>
        <v/>
      </c>
      <c r="BA6" s="13">
        <f>TEXT(MOD(TIMEVALUE(BA5)+3/1440,1),"HH:MM")</f>
        <v/>
      </c>
      <c r="BB6" s="13">
        <f>TEXT(MOD(TIMEVALUE(BB5)+3/1440,1),"HH:MM")</f>
        <v/>
      </c>
      <c r="BC6" s="13">
        <f>TEXT(MOD(TIMEVALUE(BC5)+3/1440,1),"HH:MM")</f>
        <v/>
      </c>
      <c r="BD6" s="13">
        <f>TEXT(MOD(TIMEVALUE(BD5)+3/1440,1),"HH:MM")</f>
        <v/>
      </c>
      <c r="BE6" s="13">
        <f>TEXT(MOD(TIMEVALUE(BE5)+3/1440,1),"HH:MM")</f>
        <v/>
      </c>
      <c r="BF6" s="13">
        <f>TEXT(MOD(TIMEVALUE(BF5)+3/1440,1),"HH:MM")</f>
        <v/>
      </c>
      <c r="BG6" s="13">
        <f>TEXT(MOD(TIMEVALUE(BG5)+3/1440,1),"HH:MM")</f>
        <v/>
      </c>
      <c r="BH6" s="13">
        <f>TEXT(MOD(TIMEVALUE(BH5)+3/1440,1),"HH:MM")</f>
        <v/>
      </c>
      <c r="BI6" s="13">
        <f>TEXT(MOD(TIMEVALUE(BI5)+3/1440,1),"HH:MM")</f>
        <v/>
      </c>
      <c r="BJ6" s="13">
        <f>TEXT(MOD(TIMEVALUE(BJ5)+3/1440,1),"HH:MM")</f>
        <v/>
      </c>
      <c r="BK6" s="13">
        <f>TEXT(MOD(TIMEVALUE(BK5)+3/1440,1),"HH:MM")</f>
        <v/>
      </c>
      <c r="BL6" s="13">
        <f>TEXT(MOD(TIMEVALUE(BL5)+3/1440,1),"HH:MM")</f>
        <v/>
      </c>
      <c r="BM6" s="13">
        <f>TEXT(MOD(TIMEVALUE(BM5)+3/1440,1),"HH:MM")</f>
        <v/>
      </c>
    </row>
    <row r="7" ht="16.5" customHeight="1" s="26">
      <c r="A7" s="23" t="inlineStr">
        <is>
          <t>Pedro N. Arata</t>
        </is>
      </c>
      <c r="B7" s="15">
        <f>TEXT(MOD(TIMEVALUE(B5)+5/1440,1),"HH:MM")</f>
        <v/>
      </c>
      <c r="C7" s="15">
        <f>TEXT(MOD(TIMEVALUE(C5)+5/1440,1),"HH:MM")</f>
        <v/>
      </c>
      <c r="D7" s="15">
        <f>TEXT(MOD(TIMEVALUE(D5)+5/1440,1),"HH:MM")</f>
        <v/>
      </c>
      <c r="E7" s="15">
        <f>TEXT(MOD(TIMEVALUE(E5)+5/1440,1),"HH:MM")</f>
        <v/>
      </c>
      <c r="F7" s="15">
        <f>TEXT(MOD(TIMEVALUE(F5)+5/1440,1),"HH:MM")</f>
        <v/>
      </c>
      <c r="G7" s="15">
        <f>TEXT(MOD(TIMEVALUE(G5)+5/1440,1),"HH:MM")</f>
        <v/>
      </c>
      <c r="H7" s="15">
        <f>TEXT(MOD(TIMEVALUE(H5)+5/1440,1),"HH:MM")</f>
        <v/>
      </c>
      <c r="I7" s="15">
        <f>TEXT(MOD(TIMEVALUE(I5)+5/1440,1),"HH:MM")</f>
        <v/>
      </c>
      <c r="J7" s="15">
        <f>TEXT(MOD(TIMEVALUE(J5)+5/1440,1),"HH:MM")</f>
        <v/>
      </c>
      <c r="K7" s="15">
        <f>TEXT(MOD(TIMEVALUE(K5)+5/1440,1),"HH:MM")</f>
        <v/>
      </c>
      <c r="L7" s="15">
        <f>TEXT(MOD(TIMEVALUE(L5)+5/1440,1),"HH:MM")</f>
        <v/>
      </c>
      <c r="M7" s="15">
        <f>TEXT(MOD(TIMEVALUE(M5)+5/1440,1),"HH:MM")</f>
        <v/>
      </c>
      <c r="N7" s="15">
        <f>TEXT(MOD(TIMEVALUE(N5)+5/1440,1),"HH:MM")</f>
        <v/>
      </c>
      <c r="O7" s="15">
        <f>TEXT(MOD(TIMEVALUE(O5)+5/1440,1),"HH:MM")</f>
        <v/>
      </c>
      <c r="P7" s="15">
        <f>TEXT(MOD(TIMEVALUE(P5)+5/1440,1),"HH:MM")</f>
        <v/>
      </c>
      <c r="Q7" s="15">
        <f>TEXT(MOD(TIMEVALUE(Q5)+5/1440,1),"HH:MM")</f>
        <v/>
      </c>
      <c r="R7" s="15">
        <f>TEXT(MOD(TIMEVALUE(R5)+5/1440,1),"HH:MM")</f>
        <v/>
      </c>
      <c r="S7" s="15">
        <f>TEXT(MOD(TIMEVALUE(S5)+5/1440,1),"HH:MM")</f>
        <v/>
      </c>
      <c r="T7" s="15">
        <f>TEXT(MOD(TIMEVALUE(T5)+5/1440,1),"HH:MM")</f>
        <v/>
      </c>
      <c r="U7" s="15">
        <f>TEXT(MOD(TIMEVALUE(U5)+5/1440,1),"HH:MM")</f>
        <v/>
      </c>
      <c r="V7" s="15">
        <f>TEXT(MOD(TIMEVALUE(V5)+5/1440,1),"HH:MM")</f>
        <v/>
      </c>
      <c r="W7" s="15">
        <f>TEXT(MOD(TIMEVALUE(W5)+5/1440,1),"HH:MM")</f>
        <v/>
      </c>
      <c r="X7" s="15">
        <f>TEXT(MOD(TIMEVALUE(X5)+5/1440,1),"HH:MM")</f>
        <v/>
      </c>
      <c r="Y7" s="15">
        <f>TEXT(MOD(TIMEVALUE(Y5)+5/1440,1),"HH:MM")</f>
        <v/>
      </c>
      <c r="Z7" s="15">
        <f>TEXT(MOD(TIMEVALUE(Z5)+5/1440,1),"HH:MM")</f>
        <v/>
      </c>
      <c r="AA7" s="15">
        <f>TEXT(MOD(TIMEVALUE(AA5)+5/1440,1),"HH:MM")</f>
        <v/>
      </c>
      <c r="AB7" s="15">
        <f>TEXT(MOD(TIMEVALUE(AB5)+5/1440,1),"HH:MM")</f>
        <v/>
      </c>
      <c r="AC7" s="15">
        <f>TEXT(MOD(TIMEVALUE(AC5)+5/1440,1),"HH:MM")</f>
        <v/>
      </c>
      <c r="AD7" s="15">
        <f>TEXT(MOD(TIMEVALUE(AD5)+5/1440,1),"HH:MM")</f>
        <v/>
      </c>
      <c r="AE7" s="15">
        <f>TEXT(MOD(TIMEVALUE(AE5)+5/1440,1),"HH:MM")</f>
        <v/>
      </c>
      <c r="AF7" s="15">
        <f>TEXT(MOD(TIMEVALUE(AF5)+5/1440,1),"HH:MM")</f>
        <v/>
      </c>
      <c r="AG7" s="15">
        <f>TEXT(MOD(TIMEVALUE(AG5)+5/1440,1),"HH:MM")</f>
        <v/>
      </c>
      <c r="AH7" s="15">
        <f>TEXT(MOD(TIMEVALUE(AH5)+5/1440,1),"HH:MM")</f>
        <v/>
      </c>
      <c r="AI7" s="15">
        <f>TEXT(MOD(TIMEVALUE(AI5)+5/1440,1),"HH:MM")</f>
        <v/>
      </c>
      <c r="AJ7" s="15">
        <f>TEXT(MOD(TIMEVALUE(AJ5)+5/1440,1),"HH:MM")</f>
        <v/>
      </c>
      <c r="AK7" s="15">
        <f>TEXT(MOD(TIMEVALUE(AK5)+5/1440,1),"HH:MM")</f>
        <v/>
      </c>
      <c r="AL7" s="15">
        <f>TEXT(MOD(TIMEVALUE(AL5)+5/1440,1),"HH:MM")</f>
        <v/>
      </c>
      <c r="AM7" s="15">
        <f>TEXT(MOD(TIMEVALUE(AM5)+5/1440,1),"HH:MM")</f>
        <v/>
      </c>
      <c r="AN7" s="15">
        <f>TEXT(MOD(TIMEVALUE(AN5)+5/1440,1),"HH:MM")</f>
        <v/>
      </c>
      <c r="AO7" s="15">
        <f>TEXT(MOD(TIMEVALUE(AO5)+5/1440,1),"HH:MM")</f>
        <v/>
      </c>
      <c r="AP7" s="15">
        <f>TEXT(MOD(TIMEVALUE(AP5)+5/1440,1),"HH:MM")</f>
        <v/>
      </c>
      <c r="AQ7" s="15">
        <f>TEXT(MOD(TIMEVALUE(AQ5)+5/1440,1),"HH:MM")</f>
        <v/>
      </c>
      <c r="AR7" s="15">
        <f>TEXT(MOD(TIMEVALUE(AR5)+5/1440,1),"HH:MM")</f>
        <v/>
      </c>
      <c r="AS7" s="15">
        <f>TEXT(MOD(TIMEVALUE(AS5)+5/1440,1),"HH:MM")</f>
        <v/>
      </c>
      <c r="AT7" s="15">
        <f>TEXT(MOD(TIMEVALUE(AT5)+5/1440,1),"HH:MM")</f>
        <v/>
      </c>
      <c r="AU7" s="15">
        <f>TEXT(MOD(TIMEVALUE(AU5)+5/1440,1),"HH:MM")</f>
        <v/>
      </c>
      <c r="AV7" s="15">
        <f>TEXT(MOD(TIMEVALUE(AV5)+5/1440,1),"HH:MM")</f>
        <v/>
      </c>
      <c r="AW7" s="15">
        <f>TEXT(MOD(TIMEVALUE(AW5)+5/1440,1),"HH:MM")</f>
        <v/>
      </c>
      <c r="AX7" s="15">
        <f>TEXT(MOD(TIMEVALUE(AX5)+5/1440,1),"HH:MM")</f>
        <v/>
      </c>
      <c r="AY7" s="15">
        <f>TEXT(MOD(TIMEVALUE(AY5)+5/1440,1),"HH:MM")</f>
        <v/>
      </c>
      <c r="AZ7" s="15">
        <f>TEXT(MOD(TIMEVALUE(AZ5)+5/1440,1),"HH:MM")</f>
        <v/>
      </c>
      <c r="BA7" s="15">
        <f>TEXT(MOD(TIMEVALUE(BA5)+5/1440,1),"HH:MM")</f>
        <v/>
      </c>
      <c r="BB7" s="15">
        <f>TEXT(MOD(TIMEVALUE(BB5)+5/1440,1),"HH:MM")</f>
        <v/>
      </c>
      <c r="BC7" s="15">
        <f>TEXT(MOD(TIMEVALUE(BC5)+5/1440,1),"HH:MM")</f>
        <v/>
      </c>
      <c r="BD7" s="15">
        <f>TEXT(MOD(TIMEVALUE(BD5)+5/1440,1),"HH:MM")</f>
        <v/>
      </c>
      <c r="BE7" s="15">
        <f>TEXT(MOD(TIMEVALUE(BE5)+5/1440,1),"HH:MM")</f>
        <v/>
      </c>
      <c r="BF7" s="15">
        <f>TEXT(MOD(TIMEVALUE(BF5)+5/1440,1),"HH:MM")</f>
        <v/>
      </c>
      <c r="BG7" s="15">
        <f>TEXT(MOD(TIMEVALUE(BG5)+5/1440,1),"HH:MM")</f>
        <v/>
      </c>
      <c r="BH7" s="15">
        <f>TEXT(MOD(TIMEVALUE(BH5)+5/1440,1),"HH:MM")</f>
        <v/>
      </c>
      <c r="BI7" s="15">
        <f>TEXT(MOD(TIMEVALUE(BI5)+5/1440,1),"HH:MM")</f>
        <v/>
      </c>
      <c r="BJ7" s="15">
        <f>TEXT(MOD(TIMEVALUE(BJ5)+5/1440,1),"HH:MM")</f>
        <v/>
      </c>
      <c r="BK7" s="15">
        <f>TEXT(MOD(TIMEVALUE(BK5)+5/1440,1),"HH:MM")</f>
        <v/>
      </c>
      <c r="BL7" s="15">
        <f>TEXT(MOD(TIMEVALUE(BL5)+5/1440,1),"HH:MM")</f>
        <v/>
      </c>
      <c r="BM7" s="15">
        <f>TEXT(MOD(TIMEVALUE(BM5)+5/1440,1),"HH:MM")</f>
        <v/>
      </c>
    </row>
    <row r="8" ht="16.5" customHeight="1" s="26">
      <c r="A8" s="22" t="inlineStr">
        <is>
          <t>Dr. Fco. Beiró</t>
        </is>
      </c>
      <c r="B8" s="13">
        <f>TEXT(MOD(TIMEVALUE(B5)+7/1440,1),"HH:MM")</f>
        <v/>
      </c>
      <c r="C8" s="13">
        <f>TEXT(MOD(TIMEVALUE(C5)+7/1440,1),"HH:MM")</f>
        <v/>
      </c>
      <c r="D8" s="13">
        <f>TEXT(MOD(TIMEVALUE(D5)+7/1440,1),"HH:MM")</f>
        <v/>
      </c>
      <c r="E8" s="13">
        <f>TEXT(MOD(TIMEVALUE(E5)+7/1440,1),"HH:MM")</f>
        <v/>
      </c>
      <c r="F8" s="13">
        <f>TEXT(MOD(TIMEVALUE(F5)+7/1440,1),"HH:MM")</f>
        <v/>
      </c>
      <c r="G8" s="13">
        <f>TEXT(MOD(TIMEVALUE(G5)+7/1440,1),"HH:MM")</f>
        <v/>
      </c>
      <c r="H8" s="13">
        <f>TEXT(MOD(TIMEVALUE(H5)+7/1440,1),"HH:MM")</f>
        <v/>
      </c>
      <c r="I8" s="13">
        <f>TEXT(MOD(TIMEVALUE(I5)+7/1440,1),"HH:MM")</f>
        <v/>
      </c>
      <c r="J8" s="13">
        <f>TEXT(MOD(TIMEVALUE(J5)+7/1440,1),"HH:MM")</f>
        <v/>
      </c>
      <c r="K8" s="13">
        <f>TEXT(MOD(TIMEVALUE(K5)+7/1440,1),"HH:MM")</f>
        <v/>
      </c>
      <c r="L8" s="13">
        <f>TEXT(MOD(TIMEVALUE(L5)+7/1440,1),"HH:MM")</f>
        <v/>
      </c>
      <c r="M8" s="13">
        <f>TEXT(MOD(TIMEVALUE(M5)+7/1440,1),"HH:MM")</f>
        <v/>
      </c>
      <c r="N8" s="13">
        <f>TEXT(MOD(TIMEVALUE(N5)+7/1440,1),"HH:MM")</f>
        <v/>
      </c>
      <c r="O8" s="13">
        <f>TEXT(MOD(TIMEVALUE(O5)+7/1440,1),"HH:MM")</f>
        <v/>
      </c>
      <c r="P8" s="13">
        <f>TEXT(MOD(TIMEVALUE(P5)+7/1440,1),"HH:MM")</f>
        <v/>
      </c>
      <c r="Q8" s="13">
        <f>TEXT(MOD(TIMEVALUE(Q5)+7/1440,1),"HH:MM")</f>
        <v/>
      </c>
      <c r="R8" s="13">
        <f>TEXT(MOD(TIMEVALUE(R5)+7/1440,1),"HH:MM")</f>
        <v/>
      </c>
      <c r="S8" s="13">
        <f>TEXT(MOD(TIMEVALUE(S5)+7/1440,1),"HH:MM")</f>
        <v/>
      </c>
      <c r="T8" s="13">
        <f>TEXT(MOD(TIMEVALUE(T5)+7/1440,1),"HH:MM")</f>
        <v/>
      </c>
      <c r="U8" s="13">
        <f>TEXT(MOD(TIMEVALUE(U5)+7/1440,1),"HH:MM")</f>
        <v/>
      </c>
      <c r="V8" s="13">
        <f>TEXT(MOD(TIMEVALUE(V5)+7/1440,1),"HH:MM")</f>
        <v/>
      </c>
      <c r="W8" s="13">
        <f>TEXT(MOD(TIMEVALUE(W5)+7/1440,1),"HH:MM")</f>
        <v/>
      </c>
      <c r="X8" s="13">
        <f>TEXT(MOD(TIMEVALUE(X5)+7/1440,1),"HH:MM")</f>
        <v/>
      </c>
      <c r="Y8" s="13">
        <f>TEXT(MOD(TIMEVALUE(Y5)+7/1440,1),"HH:MM")</f>
        <v/>
      </c>
      <c r="Z8" s="13">
        <f>TEXT(MOD(TIMEVALUE(Z5)+7/1440,1),"HH:MM")</f>
        <v/>
      </c>
      <c r="AA8" s="13">
        <f>TEXT(MOD(TIMEVALUE(AA5)+7/1440,1),"HH:MM")</f>
        <v/>
      </c>
      <c r="AB8" s="13">
        <f>TEXT(MOD(TIMEVALUE(AB5)+7/1440,1),"HH:MM")</f>
        <v/>
      </c>
      <c r="AC8" s="13">
        <f>TEXT(MOD(TIMEVALUE(AC5)+7/1440,1),"HH:MM")</f>
        <v/>
      </c>
      <c r="AD8" s="13">
        <f>TEXT(MOD(TIMEVALUE(AD5)+7/1440,1),"HH:MM")</f>
        <v/>
      </c>
      <c r="AE8" s="13">
        <f>TEXT(MOD(TIMEVALUE(AE5)+7/1440,1),"HH:MM")</f>
        <v/>
      </c>
      <c r="AF8" s="13">
        <f>TEXT(MOD(TIMEVALUE(AF5)+7/1440,1),"HH:MM")</f>
        <v/>
      </c>
      <c r="AG8" s="13">
        <f>TEXT(MOD(TIMEVALUE(AG5)+7/1440,1),"HH:MM")</f>
        <v/>
      </c>
      <c r="AH8" s="13">
        <f>TEXT(MOD(TIMEVALUE(AH5)+7/1440,1),"HH:MM")</f>
        <v/>
      </c>
      <c r="AI8" s="13">
        <f>TEXT(MOD(TIMEVALUE(AI5)+7/1440,1),"HH:MM")</f>
        <v/>
      </c>
      <c r="AJ8" s="13">
        <f>TEXT(MOD(TIMEVALUE(AJ5)+7/1440,1),"HH:MM")</f>
        <v/>
      </c>
      <c r="AK8" s="13">
        <f>TEXT(MOD(TIMEVALUE(AK5)+7/1440,1),"HH:MM")</f>
        <v/>
      </c>
      <c r="AL8" s="13">
        <f>TEXT(MOD(TIMEVALUE(AL5)+7/1440,1),"HH:MM")</f>
        <v/>
      </c>
      <c r="AM8" s="13">
        <f>TEXT(MOD(TIMEVALUE(AM5)+7/1440,1),"HH:MM")</f>
        <v/>
      </c>
      <c r="AN8" s="13">
        <f>TEXT(MOD(TIMEVALUE(AN5)+7/1440,1),"HH:MM")</f>
        <v/>
      </c>
      <c r="AO8" s="13">
        <f>TEXT(MOD(TIMEVALUE(AO5)+7/1440,1),"HH:MM")</f>
        <v/>
      </c>
      <c r="AP8" s="13">
        <f>TEXT(MOD(TIMEVALUE(AP5)+7/1440,1),"HH:MM")</f>
        <v/>
      </c>
      <c r="AQ8" s="13">
        <f>TEXT(MOD(TIMEVALUE(AQ5)+7/1440,1),"HH:MM")</f>
        <v/>
      </c>
      <c r="AR8" s="13">
        <f>TEXT(MOD(TIMEVALUE(AR5)+7/1440,1),"HH:MM")</f>
        <v/>
      </c>
      <c r="AS8" s="13">
        <f>TEXT(MOD(TIMEVALUE(AS5)+7/1440,1),"HH:MM")</f>
        <v/>
      </c>
      <c r="AT8" s="13">
        <f>TEXT(MOD(TIMEVALUE(AT5)+7/1440,1),"HH:MM")</f>
        <v/>
      </c>
      <c r="AU8" s="13">
        <f>TEXT(MOD(TIMEVALUE(AU5)+7/1440,1),"HH:MM")</f>
        <v/>
      </c>
      <c r="AV8" s="13">
        <f>TEXT(MOD(TIMEVALUE(AV5)+7/1440,1),"HH:MM")</f>
        <v/>
      </c>
      <c r="AW8" s="13">
        <f>TEXT(MOD(TIMEVALUE(AW5)+7/1440,1),"HH:MM")</f>
        <v/>
      </c>
      <c r="AX8" s="13">
        <f>TEXT(MOD(TIMEVALUE(AX5)+7/1440,1),"HH:MM")</f>
        <v/>
      </c>
      <c r="AY8" s="13">
        <f>TEXT(MOD(TIMEVALUE(AY5)+7/1440,1),"HH:MM")</f>
        <v/>
      </c>
      <c r="AZ8" s="13">
        <f>TEXT(MOD(TIMEVALUE(AZ5)+7/1440,1),"HH:MM")</f>
        <v/>
      </c>
      <c r="BA8" s="13">
        <f>TEXT(MOD(TIMEVALUE(BA5)+7/1440,1),"HH:MM")</f>
        <v/>
      </c>
      <c r="BB8" s="13">
        <f>TEXT(MOD(TIMEVALUE(BB5)+7/1440,1),"HH:MM")</f>
        <v/>
      </c>
      <c r="BC8" s="13">
        <f>TEXT(MOD(TIMEVALUE(BC5)+7/1440,1),"HH:MM")</f>
        <v/>
      </c>
      <c r="BD8" s="13">
        <f>TEXT(MOD(TIMEVALUE(BD5)+7/1440,1),"HH:MM")</f>
        <v/>
      </c>
      <c r="BE8" s="13">
        <f>TEXT(MOD(TIMEVALUE(BE5)+7/1440,1),"HH:MM")</f>
        <v/>
      </c>
      <c r="BF8" s="13">
        <f>TEXT(MOD(TIMEVALUE(BF5)+7/1440,1),"HH:MM")</f>
        <v/>
      </c>
      <c r="BG8" s="13">
        <f>TEXT(MOD(TIMEVALUE(BG5)+7/1440,1),"HH:MM")</f>
        <v/>
      </c>
      <c r="BH8" s="13">
        <f>TEXT(MOD(TIMEVALUE(BH5)+7/1440,1),"HH:MM")</f>
        <v/>
      </c>
      <c r="BI8" s="13">
        <f>TEXT(MOD(TIMEVALUE(BI5)+7/1440,1),"HH:MM")</f>
        <v/>
      </c>
      <c r="BJ8" s="13">
        <f>TEXT(MOD(TIMEVALUE(BJ5)+7/1440,1),"HH:MM")</f>
        <v/>
      </c>
      <c r="BK8" s="13">
        <f>TEXT(MOD(TIMEVALUE(BK5)+7/1440,1),"HH:MM")</f>
        <v/>
      </c>
      <c r="BL8" s="13">
        <f>TEXT(MOD(TIMEVALUE(BL5)+7/1440,1),"HH:MM")</f>
        <v/>
      </c>
      <c r="BM8" s="13">
        <f>TEXT(MOD(TIMEVALUE(BM5)+7/1440,1),"HH:MM")</f>
        <v/>
      </c>
    </row>
    <row r="9" ht="16.5" customHeight="1" s="26">
      <c r="A9" s="23" t="inlineStr">
        <is>
          <t>El Libertador</t>
        </is>
      </c>
      <c r="B9" s="15">
        <f>TEXT(MOD(TIMEVALUE(B5)+9/1440,1),"HH:MM")</f>
        <v/>
      </c>
      <c r="C9" s="15">
        <f>TEXT(MOD(TIMEVALUE(C5)+9/1440,1),"HH:MM")</f>
        <v/>
      </c>
      <c r="D9" s="15">
        <f>TEXT(MOD(TIMEVALUE(D5)+9/1440,1),"HH:MM")</f>
        <v/>
      </c>
      <c r="E9" s="15">
        <f>TEXT(MOD(TIMEVALUE(E5)+9/1440,1),"HH:MM")</f>
        <v/>
      </c>
      <c r="F9" s="15">
        <f>TEXT(MOD(TIMEVALUE(F5)+9/1440,1),"HH:MM")</f>
        <v/>
      </c>
      <c r="G9" s="15">
        <f>TEXT(MOD(TIMEVALUE(G5)+9/1440,1),"HH:MM")</f>
        <v/>
      </c>
      <c r="H9" s="15">
        <f>TEXT(MOD(TIMEVALUE(H5)+9/1440,1),"HH:MM")</f>
        <v/>
      </c>
      <c r="I9" s="15">
        <f>TEXT(MOD(TIMEVALUE(I5)+9/1440,1),"HH:MM")</f>
        <v/>
      </c>
      <c r="J9" s="15">
        <f>TEXT(MOD(TIMEVALUE(J5)+9/1440,1),"HH:MM")</f>
        <v/>
      </c>
      <c r="K9" s="15">
        <f>TEXT(MOD(TIMEVALUE(K5)+9/1440,1),"HH:MM")</f>
        <v/>
      </c>
      <c r="L9" s="15">
        <f>TEXT(MOD(TIMEVALUE(L5)+9/1440,1),"HH:MM")</f>
        <v/>
      </c>
      <c r="M9" s="15">
        <f>TEXT(MOD(TIMEVALUE(M5)+9/1440,1),"HH:MM")</f>
        <v/>
      </c>
      <c r="N9" s="15">
        <f>TEXT(MOD(TIMEVALUE(N5)+9/1440,1),"HH:MM")</f>
        <v/>
      </c>
      <c r="O9" s="15">
        <f>TEXT(MOD(TIMEVALUE(O5)+9/1440,1),"HH:MM")</f>
        <v/>
      </c>
      <c r="P9" s="15">
        <f>TEXT(MOD(TIMEVALUE(P5)+9/1440,1),"HH:MM")</f>
        <v/>
      </c>
      <c r="Q9" s="15">
        <f>TEXT(MOD(TIMEVALUE(Q5)+9/1440,1),"HH:MM")</f>
        <v/>
      </c>
      <c r="R9" s="15">
        <f>TEXT(MOD(TIMEVALUE(R5)+9/1440,1),"HH:MM")</f>
        <v/>
      </c>
      <c r="S9" s="15">
        <f>TEXT(MOD(TIMEVALUE(S5)+9/1440,1),"HH:MM")</f>
        <v/>
      </c>
      <c r="T9" s="15">
        <f>TEXT(MOD(TIMEVALUE(T5)+9/1440,1),"HH:MM")</f>
        <v/>
      </c>
      <c r="U9" s="15">
        <f>TEXT(MOD(TIMEVALUE(U5)+9/1440,1),"HH:MM")</f>
        <v/>
      </c>
      <c r="V9" s="15">
        <f>TEXT(MOD(TIMEVALUE(V5)+9/1440,1),"HH:MM")</f>
        <v/>
      </c>
      <c r="W9" s="15">
        <f>TEXT(MOD(TIMEVALUE(W5)+9/1440,1),"HH:MM")</f>
        <v/>
      </c>
      <c r="X9" s="15">
        <f>TEXT(MOD(TIMEVALUE(X5)+9/1440,1),"HH:MM")</f>
        <v/>
      </c>
      <c r="Y9" s="15">
        <f>TEXT(MOD(TIMEVALUE(Y5)+9/1440,1),"HH:MM")</f>
        <v/>
      </c>
      <c r="Z9" s="15">
        <f>TEXT(MOD(TIMEVALUE(Z5)+9/1440,1),"HH:MM")</f>
        <v/>
      </c>
      <c r="AA9" s="15">
        <f>TEXT(MOD(TIMEVALUE(AA5)+9/1440,1),"HH:MM")</f>
        <v/>
      </c>
      <c r="AB9" s="15">
        <f>TEXT(MOD(TIMEVALUE(AB5)+9/1440,1),"HH:MM")</f>
        <v/>
      </c>
      <c r="AC9" s="15">
        <f>TEXT(MOD(TIMEVALUE(AC5)+9/1440,1),"HH:MM")</f>
        <v/>
      </c>
      <c r="AD9" s="15">
        <f>TEXT(MOD(TIMEVALUE(AD5)+9/1440,1),"HH:MM")</f>
        <v/>
      </c>
      <c r="AE9" s="15">
        <f>TEXT(MOD(TIMEVALUE(AE5)+9/1440,1),"HH:MM")</f>
        <v/>
      </c>
      <c r="AF9" s="15">
        <f>TEXT(MOD(TIMEVALUE(AF5)+9/1440,1),"HH:MM")</f>
        <v/>
      </c>
      <c r="AG9" s="15">
        <f>TEXT(MOD(TIMEVALUE(AG5)+9/1440,1),"HH:MM")</f>
        <v/>
      </c>
      <c r="AH9" s="15">
        <f>TEXT(MOD(TIMEVALUE(AH5)+9/1440,1),"HH:MM")</f>
        <v/>
      </c>
      <c r="AI9" s="15">
        <f>TEXT(MOD(TIMEVALUE(AI5)+9/1440,1),"HH:MM")</f>
        <v/>
      </c>
      <c r="AJ9" s="15">
        <f>TEXT(MOD(TIMEVALUE(AJ5)+9/1440,1),"HH:MM")</f>
        <v/>
      </c>
      <c r="AK9" s="15">
        <f>TEXT(MOD(TIMEVALUE(AK5)+9/1440,1),"HH:MM")</f>
        <v/>
      </c>
      <c r="AL9" s="15">
        <f>TEXT(MOD(TIMEVALUE(AL5)+9/1440,1),"HH:MM")</f>
        <v/>
      </c>
      <c r="AM9" s="15">
        <f>TEXT(MOD(TIMEVALUE(AM5)+9/1440,1),"HH:MM")</f>
        <v/>
      </c>
      <c r="AN9" s="15">
        <f>TEXT(MOD(TIMEVALUE(AN5)+9/1440,1),"HH:MM")</f>
        <v/>
      </c>
      <c r="AO9" s="15">
        <f>TEXT(MOD(TIMEVALUE(AO5)+9/1440,1),"HH:MM")</f>
        <v/>
      </c>
      <c r="AP9" s="15">
        <f>TEXT(MOD(TIMEVALUE(AP5)+9/1440,1),"HH:MM")</f>
        <v/>
      </c>
      <c r="AQ9" s="15">
        <f>TEXT(MOD(TIMEVALUE(AQ5)+9/1440,1),"HH:MM")</f>
        <v/>
      </c>
      <c r="AR9" s="15">
        <f>TEXT(MOD(TIMEVALUE(AR5)+9/1440,1),"HH:MM")</f>
        <v/>
      </c>
      <c r="AS9" s="15">
        <f>TEXT(MOD(TIMEVALUE(AS5)+9/1440,1),"HH:MM")</f>
        <v/>
      </c>
      <c r="AT9" s="15">
        <f>TEXT(MOD(TIMEVALUE(AT5)+9/1440,1),"HH:MM")</f>
        <v/>
      </c>
      <c r="AU9" s="15">
        <f>TEXT(MOD(TIMEVALUE(AU5)+9/1440,1),"HH:MM")</f>
        <v/>
      </c>
      <c r="AV9" s="15">
        <f>TEXT(MOD(TIMEVALUE(AV5)+9/1440,1),"HH:MM")</f>
        <v/>
      </c>
      <c r="AW9" s="15">
        <f>TEXT(MOD(TIMEVALUE(AW5)+9/1440,1),"HH:MM")</f>
        <v/>
      </c>
      <c r="AX9" s="15">
        <f>TEXT(MOD(TIMEVALUE(AX5)+9/1440,1),"HH:MM")</f>
        <v/>
      </c>
      <c r="AY9" s="15">
        <f>TEXT(MOD(TIMEVALUE(AY5)+9/1440,1),"HH:MM")</f>
        <v/>
      </c>
      <c r="AZ9" s="15">
        <f>TEXT(MOD(TIMEVALUE(AZ5)+9/1440,1),"HH:MM")</f>
        <v/>
      </c>
      <c r="BA9" s="15">
        <f>TEXT(MOD(TIMEVALUE(BA5)+9/1440,1),"HH:MM")</f>
        <v/>
      </c>
      <c r="BB9" s="15">
        <f>TEXT(MOD(TIMEVALUE(BB5)+9/1440,1),"HH:MM")</f>
        <v/>
      </c>
      <c r="BC9" s="15">
        <f>TEXT(MOD(TIMEVALUE(BC5)+9/1440,1),"HH:MM")</f>
        <v/>
      </c>
      <c r="BD9" s="15">
        <f>TEXT(MOD(TIMEVALUE(BD5)+9/1440,1),"HH:MM")</f>
        <v/>
      </c>
      <c r="BE9" s="15">
        <f>TEXT(MOD(TIMEVALUE(BE5)+9/1440,1),"HH:MM")</f>
        <v/>
      </c>
      <c r="BF9" s="15">
        <f>TEXT(MOD(TIMEVALUE(BF5)+9/1440,1),"HH:MM")</f>
        <v/>
      </c>
      <c r="BG9" s="15">
        <f>TEXT(MOD(TIMEVALUE(BG5)+9/1440,1),"HH:MM")</f>
        <v/>
      </c>
      <c r="BH9" s="15">
        <f>TEXT(MOD(TIMEVALUE(BH5)+9/1440,1),"HH:MM")</f>
        <v/>
      </c>
      <c r="BI9" s="15">
        <f>TEXT(MOD(TIMEVALUE(BI5)+9/1440,1),"HH:MM")</f>
        <v/>
      </c>
      <c r="BJ9" s="15">
        <f>TEXT(MOD(TIMEVALUE(BJ5)+9/1440,1),"HH:MM")</f>
        <v/>
      </c>
      <c r="BK9" s="15">
        <f>TEXT(MOD(TIMEVALUE(BK5)+9/1440,1),"HH:MM")</f>
        <v/>
      </c>
      <c r="BL9" s="15">
        <f>TEXT(MOD(TIMEVALUE(BL5)+9/1440,1),"HH:MM")</f>
        <v/>
      </c>
      <c r="BM9" s="15">
        <f>TEXT(MOD(TIMEVALUE(BM5)+9/1440,1),"HH:MM")</f>
        <v/>
      </c>
    </row>
    <row r="10" ht="16.5" customHeight="1" s="26">
      <c r="A10" s="22" t="inlineStr">
        <is>
          <t>Antonio Devoto</t>
        </is>
      </c>
      <c r="B10" s="13">
        <f>TEXT(MOD(TIMEVALUE(B5)+11/1440,1),"HH:MM")</f>
        <v/>
      </c>
      <c r="C10" s="13">
        <f>TEXT(MOD(TIMEVALUE(C5)+11/1440,1),"HH:MM")</f>
        <v/>
      </c>
      <c r="D10" s="13">
        <f>TEXT(MOD(TIMEVALUE(D5)+11/1440,1),"HH:MM")</f>
        <v/>
      </c>
      <c r="E10" s="13">
        <f>TEXT(MOD(TIMEVALUE(E5)+11/1440,1),"HH:MM")</f>
        <v/>
      </c>
      <c r="F10" s="13">
        <f>TEXT(MOD(TIMEVALUE(F5)+11/1440,1),"HH:MM")</f>
        <v/>
      </c>
      <c r="G10" s="13">
        <f>TEXT(MOD(TIMEVALUE(G5)+11/1440,1),"HH:MM")</f>
        <v/>
      </c>
      <c r="H10" s="13">
        <f>TEXT(MOD(TIMEVALUE(H5)+11/1440,1),"HH:MM")</f>
        <v/>
      </c>
      <c r="I10" s="13">
        <f>TEXT(MOD(TIMEVALUE(I5)+11/1440,1),"HH:MM")</f>
        <v/>
      </c>
      <c r="J10" s="13">
        <f>TEXT(MOD(TIMEVALUE(J5)+11/1440,1),"HH:MM")</f>
        <v/>
      </c>
      <c r="K10" s="13">
        <f>TEXT(MOD(TIMEVALUE(K5)+11/1440,1),"HH:MM")</f>
        <v/>
      </c>
      <c r="L10" s="13">
        <f>TEXT(MOD(TIMEVALUE(L5)+11/1440,1),"HH:MM")</f>
        <v/>
      </c>
      <c r="M10" s="13">
        <f>TEXT(MOD(TIMEVALUE(M5)+11/1440,1),"HH:MM")</f>
        <v/>
      </c>
      <c r="N10" s="13">
        <f>TEXT(MOD(TIMEVALUE(N5)+11/1440,1),"HH:MM")</f>
        <v/>
      </c>
      <c r="O10" s="13">
        <f>TEXT(MOD(TIMEVALUE(O5)+11/1440,1),"HH:MM")</f>
        <v/>
      </c>
      <c r="P10" s="13">
        <f>TEXT(MOD(TIMEVALUE(P5)+11/1440,1),"HH:MM")</f>
        <v/>
      </c>
      <c r="Q10" s="13">
        <f>TEXT(MOD(TIMEVALUE(Q5)+11/1440,1),"HH:MM")</f>
        <v/>
      </c>
      <c r="R10" s="13">
        <f>TEXT(MOD(TIMEVALUE(R5)+11/1440,1),"HH:MM")</f>
        <v/>
      </c>
      <c r="S10" s="13">
        <f>TEXT(MOD(TIMEVALUE(S5)+11/1440,1),"HH:MM")</f>
        <v/>
      </c>
      <c r="T10" s="13">
        <f>TEXT(MOD(TIMEVALUE(T5)+11/1440,1),"HH:MM")</f>
        <v/>
      </c>
      <c r="U10" s="13">
        <f>TEXT(MOD(TIMEVALUE(U5)+11/1440,1),"HH:MM")</f>
        <v/>
      </c>
      <c r="V10" s="13">
        <f>TEXT(MOD(TIMEVALUE(V5)+11/1440,1),"HH:MM")</f>
        <v/>
      </c>
      <c r="W10" s="13">
        <f>TEXT(MOD(TIMEVALUE(W5)+11/1440,1),"HH:MM")</f>
        <v/>
      </c>
      <c r="X10" s="13">
        <f>TEXT(MOD(TIMEVALUE(X5)+11/1440,1),"HH:MM")</f>
        <v/>
      </c>
      <c r="Y10" s="13">
        <f>TEXT(MOD(TIMEVALUE(Y5)+11/1440,1),"HH:MM")</f>
        <v/>
      </c>
      <c r="Z10" s="13">
        <f>TEXT(MOD(TIMEVALUE(Z5)+11/1440,1),"HH:MM")</f>
        <v/>
      </c>
      <c r="AA10" s="13">
        <f>TEXT(MOD(TIMEVALUE(AA5)+11/1440,1),"HH:MM")</f>
        <v/>
      </c>
      <c r="AB10" s="13">
        <f>TEXT(MOD(TIMEVALUE(AB5)+11/1440,1),"HH:MM")</f>
        <v/>
      </c>
      <c r="AC10" s="13">
        <f>TEXT(MOD(TIMEVALUE(AC5)+11/1440,1),"HH:MM")</f>
        <v/>
      </c>
      <c r="AD10" s="13">
        <f>TEXT(MOD(TIMEVALUE(AD5)+11/1440,1),"HH:MM")</f>
        <v/>
      </c>
      <c r="AE10" s="13">
        <f>TEXT(MOD(TIMEVALUE(AE5)+11/1440,1),"HH:MM")</f>
        <v/>
      </c>
      <c r="AF10" s="13">
        <f>TEXT(MOD(TIMEVALUE(AF5)+11/1440,1),"HH:MM")</f>
        <v/>
      </c>
      <c r="AG10" s="13">
        <f>TEXT(MOD(TIMEVALUE(AG5)+11/1440,1),"HH:MM")</f>
        <v/>
      </c>
      <c r="AH10" s="13">
        <f>TEXT(MOD(TIMEVALUE(AH5)+11/1440,1),"HH:MM")</f>
        <v/>
      </c>
      <c r="AI10" s="13">
        <f>TEXT(MOD(TIMEVALUE(AI5)+11/1440,1),"HH:MM")</f>
        <v/>
      </c>
      <c r="AJ10" s="13">
        <f>TEXT(MOD(TIMEVALUE(AJ5)+11/1440,1),"HH:MM")</f>
        <v/>
      </c>
      <c r="AK10" s="13">
        <f>TEXT(MOD(TIMEVALUE(AK5)+11/1440,1),"HH:MM")</f>
        <v/>
      </c>
      <c r="AL10" s="13">
        <f>TEXT(MOD(TIMEVALUE(AL5)+11/1440,1),"HH:MM")</f>
        <v/>
      </c>
      <c r="AM10" s="13">
        <f>TEXT(MOD(TIMEVALUE(AM5)+11/1440,1),"HH:MM")</f>
        <v/>
      </c>
      <c r="AN10" s="13">
        <f>TEXT(MOD(TIMEVALUE(AN5)+11/1440,1),"HH:MM")</f>
        <v/>
      </c>
      <c r="AO10" s="13">
        <f>TEXT(MOD(TIMEVALUE(AO5)+11/1440,1),"HH:MM")</f>
        <v/>
      </c>
      <c r="AP10" s="13">
        <f>TEXT(MOD(TIMEVALUE(AP5)+11/1440,1),"HH:MM")</f>
        <v/>
      </c>
      <c r="AQ10" s="13">
        <f>TEXT(MOD(TIMEVALUE(AQ5)+11/1440,1),"HH:MM")</f>
        <v/>
      </c>
      <c r="AR10" s="13">
        <f>TEXT(MOD(TIMEVALUE(AR5)+11/1440,1),"HH:MM")</f>
        <v/>
      </c>
      <c r="AS10" s="13">
        <f>TEXT(MOD(TIMEVALUE(AS5)+11/1440,1),"HH:MM")</f>
        <v/>
      </c>
      <c r="AT10" s="13">
        <f>TEXT(MOD(TIMEVALUE(AT5)+11/1440,1),"HH:MM")</f>
        <v/>
      </c>
      <c r="AU10" s="13">
        <f>TEXT(MOD(TIMEVALUE(AU5)+11/1440,1),"HH:MM")</f>
        <v/>
      </c>
      <c r="AV10" s="13">
        <f>TEXT(MOD(TIMEVALUE(AV5)+11/1440,1),"HH:MM")</f>
        <v/>
      </c>
      <c r="AW10" s="13">
        <f>TEXT(MOD(TIMEVALUE(AW5)+11/1440,1),"HH:MM")</f>
        <v/>
      </c>
      <c r="AX10" s="13">
        <f>TEXT(MOD(TIMEVALUE(AX5)+11/1440,1),"HH:MM")</f>
        <v/>
      </c>
      <c r="AY10" s="13">
        <f>TEXT(MOD(TIMEVALUE(AY5)+11/1440,1),"HH:MM")</f>
        <v/>
      </c>
      <c r="AZ10" s="13">
        <f>TEXT(MOD(TIMEVALUE(AZ5)+11/1440,1),"HH:MM")</f>
        <v/>
      </c>
      <c r="BA10" s="13">
        <f>TEXT(MOD(TIMEVALUE(BA5)+11/1440,1),"HH:MM")</f>
        <v/>
      </c>
      <c r="BB10" s="13">
        <f>TEXT(MOD(TIMEVALUE(BB5)+11/1440,1),"HH:MM")</f>
        <v/>
      </c>
      <c r="BC10" s="13">
        <f>TEXT(MOD(TIMEVALUE(BC5)+11/1440,1),"HH:MM")</f>
        <v/>
      </c>
      <c r="BD10" s="13">
        <f>TEXT(MOD(TIMEVALUE(BD5)+11/1440,1),"HH:MM")</f>
        <v/>
      </c>
      <c r="BE10" s="13">
        <f>TEXT(MOD(TIMEVALUE(BE5)+11/1440,1),"HH:MM")</f>
        <v/>
      </c>
      <c r="BF10" s="13">
        <f>TEXT(MOD(TIMEVALUE(BF5)+11/1440,1),"HH:MM")</f>
        <v/>
      </c>
      <c r="BG10" s="13">
        <f>TEXT(MOD(TIMEVALUE(BG5)+11/1440,1),"HH:MM")</f>
        <v/>
      </c>
      <c r="BH10" s="13">
        <f>TEXT(MOD(TIMEVALUE(BH5)+11/1440,1),"HH:MM")</f>
        <v/>
      </c>
      <c r="BI10" s="13">
        <f>TEXT(MOD(TIMEVALUE(BI5)+11/1440,1),"HH:MM")</f>
        <v/>
      </c>
      <c r="BJ10" s="13">
        <f>TEXT(MOD(TIMEVALUE(BJ5)+11/1440,1),"HH:MM")</f>
        <v/>
      </c>
      <c r="BK10" s="13">
        <f>TEXT(MOD(TIMEVALUE(BK5)+11/1440,1),"HH:MM")</f>
        <v/>
      </c>
      <c r="BL10" s="13">
        <f>TEXT(MOD(TIMEVALUE(BL5)+11/1440,1),"HH:MM")</f>
        <v/>
      </c>
      <c r="BM10" s="13">
        <f>TEXT(MOD(TIMEVALUE(BM5)+11/1440,1),"HH:MM")</f>
        <v/>
      </c>
    </row>
    <row r="11" ht="16.5" customHeight="1" s="26">
      <c r="A11" s="23" t="inlineStr">
        <is>
          <t>Cnel. Fco. Lynch</t>
        </is>
      </c>
      <c r="B11" s="15">
        <f>TEXT(MOD(TIMEVALUE(B5)+13/1440,1),"HH:MM")</f>
        <v/>
      </c>
      <c r="C11" s="15">
        <f>TEXT(MOD(TIMEVALUE(C5)+13/1440,1),"HH:MM")</f>
        <v/>
      </c>
      <c r="D11" s="15">
        <f>TEXT(MOD(TIMEVALUE(D5)+13/1440,1),"HH:MM")</f>
        <v/>
      </c>
      <c r="E11" s="15">
        <f>TEXT(MOD(TIMEVALUE(E5)+13/1440,1),"HH:MM")</f>
        <v/>
      </c>
      <c r="F11" s="15">
        <f>TEXT(MOD(TIMEVALUE(F5)+13/1440,1),"HH:MM")</f>
        <v/>
      </c>
      <c r="G11" s="15">
        <f>TEXT(MOD(TIMEVALUE(G5)+13/1440,1),"HH:MM")</f>
        <v/>
      </c>
      <c r="H11" s="15">
        <f>TEXT(MOD(TIMEVALUE(H5)+13/1440,1),"HH:MM")</f>
        <v/>
      </c>
      <c r="I11" s="15">
        <f>TEXT(MOD(TIMEVALUE(I5)+13/1440,1),"HH:MM")</f>
        <v/>
      </c>
      <c r="J11" s="15">
        <f>TEXT(MOD(TIMEVALUE(J5)+13/1440,1),"HH:MM")</f>
        <v/>
      </c>
      <c r="K11" s="15">
        <f>TEXT(MOD(TIMEVALUE(K5)+13/1440,1),"HH:MM")</f>
        <v/>
      </c>
      <c r="L11" s="15">
        <f>TEXT(MOD(TIMEVALUE(L5)+13/1440,1),"HH:MM")</f>
        <v/>
      </c>
      <c r="M11" s="15">
        <f>TEXT(MOD(TIMEVALUE(M5)+13/1440,1),"HH:MM")</f>
        <v/>
      </c>
      <c r="N11" s="15">
        <f>TEXT(MOD(TIMEVALUE(N5)+13/1440,1),"HH:MM")</f>
        <v/>
      </c>
      <c r="O11" s="15">
        <f>TEXT(MOD(TIMEVALUE(O5)+13/1440,1),"HH:MM")</f>
        <v/>
      </c>
      <c r="P11" s="15">
        <f>TEXT(MOD(TIMEVALUE(P5)+13/1440,1),"HH:MM")</f>
        <v/>
      </c>
      <c r="Q11" s="15">
        <f>TEXT(MOD(TIMEVALUE(Q5)+13/1440,1),"HH:MM")</f>
        <v/>
      </c>
      <c r="R11" s="15">
        <f>TEXT(MOD(TIMEVALUE(R5)+13/1440,1),"HH:MM")</f>
        <v/>
      </c>
      <c r="S11" s="15">
        <f>TEXT(MOD(TIMEVALUE(S5)+13/1440,1),"HH:MM")</f>
        <v/>
      </c>
      <c r="T11" s="15">
        <f>TEXT(MOD(TIMEVALUE(T5)+13/1440,1),"HH:MM")</f>
        <v/>
      </c>
      <c r="U11" s="15">
        <f>TEXT(MOD(TIMEVALUE(U5)+13/1440,1),"HH:MM")</f>
        <v/>
      </c>
      <c r="V11" s="15">
        <f>TEXT(MOD(TIMEVALUE(V5)+13/1440,1),"HH:MM")</f>
        <v/>
      </c>
      <c r="W11" s="15">
        <f>TEXT(MOD(TIMEVALUE(W5)+13/1440,1),"HH:MM")</f>
        <v/>
      </c>
      <c r="X11" s="15">
        <f>TEXT(MOD(TIMEVALUE(X5)+13/1440,1),"HH:MM")</f>
        <v/>
      </c>
      <c r="Y11" s="15">
        <f>TEXT(MOD(TIMEVALUE(Y5)+13/1440,1),"HH:MM")</f>
        <v/>
      </c>
      <c r="Z11" s="15">
        <f>TEXT(MOD(TIMEVALUE(Z5)+13/1440,1),"HH:MM")</f>
        <v/>
      </c>
      <c r="AA11" s="15">
        <f>TEXT(MOD(TIMEVALUE(AA5)+13/1440,1),"HH:MM")</f>
        <v/>
      </c>
      <c r="AB11" s="15">
        <f>TEXT(MOD(TIMEVALUE(AB5)+13/1440,1),"HH:MM")</f>
        <v/>
      </c>
      <c r="AC11" s="15">
        <f>TEXT(MOD(TIMEVALUE(AC5)+13/1440,1),"HH:MM")</f>
        <v/>
      </c>
      <c r="AD11" s="15">
        <f>TEXT(MOD(TIMEVALUE(AD5)+13/1440,1),"HH:MM")</f>
        <v/>
      </c>
      <c r="AE11" s="15">
        <f>TEXT(MOD(TIMEVALUE(AE5)+13/1440,1),"HH:MM")</f>
        <v/>
      </c>
      <c r="AF11" s="15">
        <f>TEXT(MOD(TIMEVALUE(AF5)+13/1440,1),"HH:MM")</f>
        <v/>
      </c>
      <c r="AG11" s="15">
        <f>TEXT(MOD(TIMEVALUE(AG5)+13/1440,1),"HH:MM")</f>
        <v/>
      </c>
      <c r="AH11" s="15">
        <f>TEXT(MOD(TIMEVALUE(AH5)+13/1440,1),"HH:MM")</f>
        <v/>
      </c>
      <c r="AI11" s="15">
        <f>TEXT(MOD(TIMEVALUE(AI5)+13/1440,1),"HH:MM")</f>
        <v/>
      </c>
      <c r="AJ11" s="15">
        <f>TEXT(MOD(TIMEVALUE(AJ5)+13/1440,1),"HH:MM")</f>
        <v/>
      </c>
      <c r="AK11" s="15">
        <f>TEXT(MOD(TIMEVALUE(AK5)+13/1440,1),"HH:MM")</f>
        <v/>
      </c>
      <c r="AL11" s="15">
        <f>TEXT(MOD(TIMEVALUE(AL5)+13/1440,1),"HH:MM")</f>
        <v/>
      </c>
      <c r="AM11" s="15">
        <f>TEXT(MOD(TIMEVALUE(AM5)+13/1440,1),"HH:MM")</f>
        <v/>
      </c>
      <c r="AN11" s="15">
        <f>TEXT(MOD(TIMEVALUE(AN5)+13/1440,1),"HH:MM")</f>
        <v/>
      </c>
      <c r="AO11" s="15">
        <f>TEXT(MOD(TIMEVALUE(AO5)+13/1440,1),"HH:MM")</f>
        <v/>
      </c>
      <c r="AP11" s="15">
        <f>TEXT(MOD(TIMEVALUE(AP5)+13/1440,1),"HH:MM")</f>
        <v/>
      </c>
      <c r="AQ11" s="15">
        <f>TEXT(MOD(TIMEVALUE(AQ5)+13/1440,1),"HH:MM")</f>
        <v/>
      </c>
      <c r="AR11" s="15">
        <f>TEXT(MOD(TIMEVALUE(AR5)+13/1440,1),"HH:MM")</f>
        <v/>
      </c>
      <c r="AS11" s="15">
        <f>TEXT(MOD(TIMEVALUE(AS5)+13/1440,1),"HH:MM")</f>
        <v/>
      </c>
      <c r="AT11" s="15">
        <f>TEXT(MOD(TIMEVALUE(AT5)+13/1440,1),"HH:MM")</f>
        <v/>
      </c>
      <c r="AU11" s="15">
        <f>TEXT(MOD(TIMEVALUE(AU5)+13/1440,1),"HH:MM")</f>
        <v/>
      </c>
      <c r="AV11" s="15">
        <f>TEXT(MOD(TIMEVALUE(AV5)+13/1440,1),"HH:MM")</f>
        <v/>
      </c>
      <c r="AW11" s="15">
        <f>TEXT(MOD(TIMEVALUE(AW5)+13/1440,1),"HH:MM")</f>
        <v/>
      </c>
      <c r="AX11" s="15">
        <f>TEXT(MOD(TIMEVALUE(AX5)+13/1440,1),"HH:MM")</f>
        <v/>
      </c>
      <c r="AY11" s="15">
        <f>TEXT(MOD(TIMEVALUE(AY5)+13/1440,1),"HH:MM")</f>
        <v/>
      </c>
      <c r="AZ11" s="15">
        <f>TEXT(MOD(TIMEVALUE(AZ5)+13/1440,1),"HH:MM")</f>
        <v/>
      </c>
      <c r="BA11" s="15">
        <f>TEXT(MOD(TIMEVALUE(BA5)+13/1440,1),"HH:MM")</f>
        <v/>
      </c>
      <c r="BB11" s="15">
        <f>TEXT(MOD(TIMEVALUE(BB5)+13/1440,1),"HH:MM")</f>
        <v/>
      </c>
      <c r="BC11" s="15">
        <f>TEXT(MOD(TIMEVALUE(BC5)+13/1440,1),"HH:MM")</f>
        <v/>
      </c>
      <c r="BD11" s="15">
        <f>TEXT(MOD(TIMEVALUE(BD5)+13/1440,1),"HH:MM")</f>
        <v/>
      </c>
      <c r="BE11" s="15">
        <f>TEXT(MOD(TIMEVALUE(BE5)+13/1440,1),"HH:MM")</f>
        <v/>
      </c>
      <c r="BF11" s="15">
        <f>TEXT(MOD(TIMEVALUE(BF5)+13/1440,1),"HH:MM")</f>
        <v/>
      </c>
      <c r="BG11" s="15">
        <f>TEXT(MOD(TIMEVALUE(BG5)+13/1440,1),"HH:MM")</f>
        <v/>
      </c>
      <c r="BH11" s="15">
        <f>TEXT(MOD(TIMEVALUE(BH5)+13/1440,1),"HH:MM")</f>
        <v/>
      </c>
      <c r="BI11" s="15">
        <f>TEXT(MOD(TIMEVALUE(BI5)+13/1440,1),"HH:MM")</f>
        <v/>
      </c>
      <c r="BJ11" s="15">
        <f>TEXT(MOD(TIMEVALUE(BJ5)+13/1440,1),"HH:MM")</f>
        <v/>
      </c>
      <c r="BK11" s="15">
        <f>TEXT(MOD(TIMEVALUE(BK5)+13/1440,1),"HH:MM")</f>
        <v/>
      </c>
      <c r="BL11" s="15">
        <f>TEXT(MOD(TIMEVALUE(BL5)+13/1440,1),"HH:MM")</f>
        <v/>
      </c>
      <c r="BM11" s="15">
        <f>TEXT(MOD(TIMEVALUE(BM5)+13/1440,1),"HH:MM")</f>
        <v/>
      </c>
    </row>
    <row r="12" ht="16.5" customHeight="1" s="26">
      <c r="A12" s="22" t="inlineStr">
        <is>
          <t>Fernández Moreno</t>
        </is>
      </c>
      <c r="B12" s="13">
        <f>TEXT(MOD(TIMEVALUE(B5)+15/1440,1),"HH:MM")</f>
        <v/>
      </c>
      <c r="C12" s="13">
        <f>TEXT(MOD(TIMEVALUE(C5)+15/1440,1),"HH:MM")</f>
        <v/>
      </c>
      <c r="D12" s="13">
        <f>TEXT(MOD(TIMEVALUE(D5)+15/1440,1),"HH:MM")</f>
        <v/>
      </c>
      <c r="E12" s="13">
        <f>TEXT(MOD(TIMEVALUE(E5)+15/1440,1),"HH:MM")</f>
        <v/>
      </c>
      <c r="F12" s="13">
        <f>TEXT(MOD(TIMEVALUE(F5)+15/1440,1),"HH:MM")</f>
        <v/>
      </c>
      <c r="G12" s="13">
        <f>TEXT(MOD(TIMEVALUE(G5)+15/1440,1),"HH:MM")</f>
        <v/>
      </c>
      <c r="H12" s="13">
        <f>TEXT(MOD(TIMEVALUE(H5)+15/1440,1),"HH:MM")</f>
        <v/>
      </c>
      <c r="I12" s="13">
        <f>TEXT(MOD(TIMEVALUE(I5)+15/1440,1),"HH:MM")</f>
        <v/>
      </c>
      <c r="J12" s="13">
        <f>TEXT(MOD(TIMEVALUE(J5)+15/1440,1),"HH:MM")</f>
        <v/>
      </c>
      <c r="K12" s="13">
        <f>TEXT(MOD(TIMEVALUE(K5)+15/1440,1),"HH:MM")</f>
        <v/>
      </c>
      <c r="L12" s="13">
        <f>TEXT(MOD(TIMEVALUE(L5)+15/1440,1),"HH:MM")</f>
        <v/>
      </c>
      <c r="M12" s="13">
        <f>TEXT(MOD(TIMEVALUE(M5)+15/1440,1),"HH:MM")</f>
        <v/>
      </c>
      <c r="N12" s="13">
        <f>TEXT(MOD(TIMEVALUE(N5)+15/1440,1),"HH:MM")</f>
        <v/>
      </c>
      <c r="O12" s="13">
        <f>TEXT(MOD(TIMEVALUE(O5)+15/1440,1),"HH:MM")</f>
        <v/>
      </c>
      <c r="P12" s="13">
        <f>TEXT(MOD(TIMEVALUE(P5)+15/1440,1),"HH:MM")</f>
        <v/>
      </c>
      <c r="Q12" s="13">
        <f>TEXT(MOD(TIMEVALUE(Q5)+15/1440,1),"HH:MM")</f>
        <v/>
      </c>
      <c r="R12" s="13">
        <f>TEXT(MOD(TIMEVALUE(R5)+15/1440,1),"HH:MM")</f>
        <v/>
      </c>
      <c r="S12" s="13">
        <f>TEXT(MOD(TIMEVALUE(S5)+15/1440,1),"HH:MM")</f>
        <v/>
      </c>
      <c r="T12" s="13">
        <f>TEXT(MOD(TIMEVALUE(T5)+15/1440,1),"HH:MM")</f>
        <v/>
      </c>
      <c r="U12" s="13">
        <f>TEXT(MOD(TIMEVALUE(U5)+15/1440,1),"HH:MM")</f>
        <v/>
      </c>
      <c r="V12" s="13">
        <f>TEXT(MOD(TIMEVALUE(V5)+15/1440,1),"HH:MM")</f>
        <v/>
      </c>
      <c r="W12" s="13">
        <f>TEXT(MOD(TIMEVALUE(W5)+15/1440,1),"HH:MM")</f>
        <v/>
      </c>
      <c r="X12" s="13">
        <f>TEXT(MOD(TIMEVALUE(X5)+15/1440,1),"HH:MM")</f>
        <v/>
      </c>
      <c r="Y12" s="13">
        <f>TEXT(MOD(TIMEVALUE(Y5)+15/1440,1),"HH:MM")</f>
        <v/>
      </c>
      <c r="Z12" s="13">
        <f>TEXT(MOD(TIMEVALUE(Z5)+15/1440,1),"HH:MM")</f>
        <v/>
      </c>
      <c r="AA12" s="13">
        <f>TEXT(MOD(TIMEVALUE(AA5)+15/1440,1),"HH:MM")</f>
        <v/>
      </c>
      <c r="AB12" s="13">
        <f>TEXT(MOD(TIMEVALUE(AB5)+15/1440,1),"HH:MM")</f>
        <v/>
      </c>
      <c r="AC12" s="13">
        <f>TEXT(MOD(TIMEVALUE(AC5)+15/1440,1),"HH:MM")</f>
        <v/>
      </c>
      <c r="AD12" s="13">
        <f>TEXT(MOD(TIMEVALUE(AD5)+15/1440,1),"HH:MM")</f>
        <v/>
      </c>
      <c r="AE12" s="13">
        <f>TEXT(MOD(TIMEVALUE(AE5)+15/1440,1),"HH:MM")</f>
        <v/>
      </c>
      <c r="AF12" s="13">
        <f>TEXT(MOD(TIMEVALUE(AF5)+15/1440,1),"HH:MM")</f>
        <v/>
      </c>
      <c r="AG12" s="13">
        <f>TEXT(MOD(TIMEVALUE(AG5)+15/1440,1),"HH:MM")</f>
        <v/>
      </c>
      <c r="AH12" s="13">
        <f>TEXT(MOD(TIMEVALUE(AH5)+15/1440,1),"HH:MM")</f>
        <v/>
      </c>
      <c r="AI12" s="13">
        <f>TEXT(MOD(TIMEVALUE(AI5)+15/1440,1),"HH:MM")</f>
        <v/>
      </c>
      <c r="AJ12" s="13">
        <f>TEXT(MOD(TIMEVALUE(AJ5)+15/1440,1),"HH:MM")</f>
        <v/>
      </c>
      <c r="AK12" s="13">
        <f>TEXT(MOD(TIMEVALUE(AK5)+15/1440,1),"HH:MM")</f>
        <v/>
      </c>
      <c r="AL12" s="13">
        <f>TEXT(MOD(TIMEVALUE(AL5)+15/1440,1),"HH:MM")</f>
        <v/>
      </c>
      <c r="AM12" s="13">
        <f>TEXT(MOD(TIMEVALUE(AM5)+15/1440,1),"HH:MM")</f>
        <v/>
      </c>
      <c r="AN12" s="13">
        <f>TEXT(MOD(TIMEVALUE(AN5)+15/1440,1),"HH:MM")</f>
        <v/>
      </c>
      <c r="AO12" s="13">
        <f>TEXT(MOD(TIMEVALUE(AO5)+15/1440,1),"HH:MM")</f>
        <v/>
      </c>
      <c r="AP12" s="13">
        <f>TEXT(MOD(TIMEVALUE(AP5)+15/1440,1),"HH:MM")</f>
        <v/>
      </c>
      <c r="AQ12" s="13">
        <f>TEXT(MOD(TIMEVALUE(AQ5)+15/1440,1),"HH:MM")</f>
        <v/>
      </c>
      <c r="AR12" s="13">
        <f>TEXT(MOD(TIMEVALUE(AR5)+15/1440,1),"HH:MM")</f>
        <v/>
      </c>
      <c r="AS12" s="13">
        <f>TEXT(MOD(TIMEVALUE(AS5)+15/1440,1),"HH:MM")</f>
        <v/>
      </c>
      <c r="AT12" s="13">
        <f>TEXT(MOD(TIMEVALUE(AT5)+15/1440,1),"HH:MM")</f>
        <v/>
      </c>
      <c r="AU12" s="13">
        <f>TEXT(MOD(TIMEVALUE(AU5)+15/1440,1),"HH:MM")</f>
        <v/>
      </c>
      <c r="AV12" s="13">
        <f>TEXT(MOD(TIMEVALUE(AV5)+15/1440,1),"HH:MM")</f>
        <v/>
      </c>
      <c r="AW12" s="13">
        <f>TEXT(MOD(TIMEVALUE(AW5)+15/1440,1),"HH:MM")</f>
        <v/>
      </c>
      <c r="AX12" s="13">
        <f>TEXT(MOD(TIMEVALUE(AX5)+15/1440,1),"HH:MM")</f>
        <v/>
      </c>
      <c r="AY12" s="13">
        <f>TEXT(MOD(TIMEVALUE(AY5)+15/1440,1),"HH:MM")</f>
        <v/>
      </c>
      <c r="AZ12" s="13">
        <f>TEXT(MOD(TIMEVALUE(AZ5)+15/1440,1),"HH:MM")</f>
        <v/>
      </c>
      <c r="BA12" s="13">
        <f>TEXT(MOD(TIMEVALUE(BA5)+15/1440,1),"HH:MM")</f>
        <v/>
      </c>
      <c r="BB12" s="13">
        <f>TEXT(MOD(TIMEVALUE(BB5)+15/1440,1),"HH:MM")</f>
        <v/>
      </c>
      <c r="BC12" s="13">
        <f>TEXT(MOD(TIMEVALUE(BC5)+15/1440,1),"HH:MM")</f>
        <v/>
      </c>
      <c r="BD12" s="13">
        <f>TEXT(MOD(TIMEVALUE(BD5)+15/1440,1),"HH:MM")</f>
        <v/>
      </c>
      <c r="BE12" s="13">
        <f>TEXT(MOD(TIMEVALUE(BE5)+15/1440,1),"HH:MM")</f>
        <v/>
      </c>
      <c r="BF12" s="13">
        <f>TEXT(MOD(TIMEVALUE(BF5)+15/1440,1),"HH:MM")</f>
        <v/>
      </c>
      <c r="BG12" s="13">
        <f>TEXT(MOD(TIMEVALUE(BG5)+15/1440,1),"HH:MM")</f>
        <v/>
      </c>
      <c r="BH12" s="13">
        <f>TEXT(MOD(TIMEVALUE(BH5)+15/1440,1),"HH:MM")</f>
        <v/>
      </c>
      <c r="BI12" s="13">
        <f>TEXT(MOD(TIMEVALUE(BI5)+15/1440,1),"HH:MM")</f>
        <v/>
      </c>
      <c r="BJ12" s="13">
        <f>TEXT(MOD(TIMEVALUE(BJ5)+15/1440,1),"HH:MM")</f>
        <v/>
      </c>
      <c r="BK12" s="13">
        <f>TEXT(MOD(TIMEVALUE(BK5)+15/1440,1),"HH:MM")</f>
        <v/>
      </c>
      <c r="BL12" s="13">
        <f>TEXT(MOD(TIMEVALUE(BL5)+15/1440,1),"HH:MM")</f>
        <v/>
      </c>
      <c r="BM12" s="13">
        <f>TEXT(MOD(TIMEVALUE(BM5)+15/1440,1),"HH:MM")</f>
        <v/>
      </c>
    </row>
    <row r="13" ht="16.5" customHeight="1" s="26">
      <c r="A13" s="23" t="inlineStr">
        <is>
          <t>Lourdes</t>
        </is>
      </c>
      <c r="B13" s="15">
        <f>TEXT(MOD(TIMEVALUE(B5)+17/1440,1),"HH:MM")</f>
        <v/>
      </c>
      <c r="C13" s="15">
        <f>TEXT(MOD(TIMEVALUE(C5)+17/1440,1),"HH:MM")</f>
        <v/>
      </c>
      <c r="D13" s="15">
        <f>TEXT(MOD(TIMEVALUE(D5)+17/1440,1),"HH:MM")</f>
        <v/>
      </c>
      <c r="E13" s="15">
        <f>TEXT(MOD(TIMEVALUE(E5)+17/1440,1),"HH:MM")</f>
        <v/>
      </c>
      <c r="F13" s="15">
        <f>TEXT(MOD(TIMEVALUE(F5)+17/1440,1),"HH:MM")</f>
        <v/>
      </c>
      <c r="G13" s="15">
        <f>TEXT(MOD(TIMEVALUE(G5)+17/1440,1),"HH:MM")</f>
        <v/>
      </c>
      <c r="H13" s="15">
        <f>TEXT(MOD(TIMEVALUE(H5)+17/1440,1),"HH:MM")</f>
        <v/>
      </c>
      <c r="I13" s="15">
        <f>TEXT(MOD(TIMEVALUE(I5)+17/1440,1),"HH:MM")</f>
        <v/>
      </c>
      <c r="J13" s="15">
        <f>TEXT(MOD(TIMEVALUE(J5)+17/1440,1),"HH:MM")</f>
        <v/>
      </c>
      <c r="K13" s="15">
        <f>TEXT(MOD(TIMEVALUE(K5)+17/1440,1),"HH:MM")</f>
        <v/>
      </c>
      <c r="L13" s="15">
        <f>TEXT(MOD(TIMEVALUE(L5)+17/1440,1),"HH:MM")</f>
        <v/>
      </c>
      <c r="M13" s="15">
        <f>TEXT(MOD(TIMEVALUE(M5)+17/1440,1),"HH:MM")</f>
        <v/>
      </c>
      <c r="N13" s="15">
        <f>TEXT(MOD(TIMEVALUE(N5)+17/1440,1),"HH:MM")</f>
        <v/>
      </c>
      <c r="O13" s="15">
        <f>TEXT(MOD(TIMEVALUE(O5)+17/1440,1),"HH:MM")</f>
        <v/>
      </c>
      <c r="P13" s="15">
        <f>TEXT(MOD(TIMEVALUE(P5)+17/1440,1),"HH:MM")</f>
        <v/>
      </c>
      <c r="Q13" s="15">
        <f>TEXT(MOD(TIMEVALUE(Q5)+17/1440,1),"HH:MM")</f>
        <v/>
      </c>
      <c r="R13" s="15">
        <f>TEXT(MOD(TIMEVALUE(R5)+17/1440,1),"HH:MM")</f>
        <v/>
      </c>
      <c r="S13" s="15">
        <f>TEXT(MOD(TIMEVALUE(S5)+17/1440,1),"HH:MM")</f>
        <v/>
      </c>
      <c r="T13" s="15">
        <f>TEXT(MOD(TIMEVALUE(T5)+17/1440,1),"HH:MM")</f>
        <v/>
      </c>
      <c r="U13" s="15">
        <f>TEXT(MOD(TIMEVALUE(U5)+17/1440,1),"HH:MM")</f>
        <v/>
      </c>
      <c r="V13" s="15">
        <f>TEXT(MOD(TIMEVALUE(V5)+17/1440,1),"HH:MM")</f>
        <v/>
      </c>
      <c r="W13" s="15">
        <f>TEXT(MOD(TIMEVALUE(W5)+17/1440,1),"HH:MM")</f>
        <v/>
      </c>
      <c r="X13" s="15">
        <f>TEXT(MOD(TIMEVALUE(X5)+17/1440,1),"HH:MM")</f>
        <v/>
      </c>
      <c r="Y13" s="15">
        <f>TEXT(MOD(TIMEVALUE(Y5)+17/1440,1),"HH:MM")</f>
        <v/>
      </c>
      <c r="Z13" s="15">
        <f>TEXT(MOD(TIMEVALUE(Z5)+17/1440,1),"HH:MM")</f>
        <v/>
      </c>
      <c r="AA13" s="15">
        <f>TEXT(MOD(TIMEVALUE(AA5)+17/1440,1),"HH:MM")</f>
        <v/>
      </c>
      <c r="AB13" s="15">
        <f>TEXT(MOD(TIMEVALUE(AB5)+17/1440,1),"HH:MM")</f>
        <v/>
      </c>
      <c r="AC13" s="15">
        <f>TEXT(MOD(TIMEVALUE(AC5)+17/1440,1),"HH:MM")</f>
        <v/>
      </c>
      <c r="AD13" s="15">
        <f>TEXT(MOD(TIMEVALUE(AD5)+17/1440,1),"HH:MM")</f>
        <v/>
      </c>
      <c r="AE13" s="15">
        <f>TEXT(MOD(TIMEVALUE(AE5)+17/1440,1),"HH:MM")</f>
        <v/>
      </c>
      <c r="AF13" s="15">
        <f>TEXT(MOD(TIMEVALUE(AF5)+17/1440,1),"HH:MM")</f>
        <v/>
      </c>
      <c r="AG13" s="15">
        <f>TEXT(MOD(TIMEVALUE(AG5)+17/1440,1),"HH:MM")</f>
        <v/>
      </c>
      <c r="AH13" s="15">
        <f>TEXT(MOD(TIMEVALUE(AH5)+17/1440,1),"HH:MM")</f>
        <v/>
      </c>
      <c r="AI13" s="15">
        <f>TEXT(MOD(TIMEVALUE(AI5)+17/1440,1),"HH:MM")</f>
        <v/>
      </c>
      <c r="AJ13" s="15">
        <f>TEXT(MOD(TIMEVALUE(AJ5)+17/1440,1),"HH:MM")</f>
        <v/>
      </c>
      <c r="AK13" s="15">
        <f>TEXT(MOD(TIMEVALUE(AK5)+17/1440,1),"HH:MM")</f>
        <v/>
      </c>
      <c r="AL13" s="15">
        <f>TEXT(MOD(TIMEVALUE(AL5)+17/1440,1),"HH:MM")</f>
        <v/>
      </c>
      <c r="AM13" s="15">
        <f>TEXT(MOD(TIMEVALUE(AM5)+17/1440,1),"HH:MM")</f>
        <v/>
      </c>
      <c r="AN13" s="15">
        <f>TEXT(MOD(TIMEVALUE(AN5)+17/1440,1),"HH:MM")</f>
        <v/>
      </c>
      <c r="AO13" s="15">
        <f>TEXT(MOD(TIMEVALUE(AO5)+17/1440,1),"HH:MM")</f>
        <v/>
      </c>
      <c r="AP13" s="15">
        <f>TEXT(MOD(TIMEVALUE(AP5)+17/1440,1),"HH:MM")</f>
        <v/>
      </c>
      <c r="AQ13" s="15">
        <f>TEXT(MOD(TIMEVALUE(AQ5)+17/1440,1),"HH:MM")</f>
        <v/>
      </c>
      <c r="AR13" s="15">
        <f>TEXT(MOD(TIMEVALUE(AR5)+17/1440,1),"HH:MM")</f>
        <v/>
      </c>
      <c r="AS13" s="15">
        <f>TEXT(MOD(TIMEVALUE(AS5)+17/1440,1),"HH:MM")</f>
        <v/>
      </c>
      <c r="AT13" s="15">
        <f>TEXT(MOD(TIMEVALUE(AT5)+17/1440,1),"HH:MM")</f>
        <v/>
      </c>
      <c r="AU13" s="15">
        <f>TEXT(MOD(TIMEVALUE(AU5)+17/1440,1),"HH:MM")</f>
        <v/>
      </c>
      <c r="AV13" s="15">
        <f>TEXT(MOD(TIMEVALUE(AV5)+17/1440,1),"HH:MM")</f>
        <v/>
      </c>
      <c r="AW13" s="15">
        <f>TEXT(MOD(TIMEVALUE(AW5)+17/1440,1),"HH:MM")</f>
        <v/>
      </c>
      <c r="AX13" s="15">
        <f>TEXT(MOD(TIMEVALUE(AX5)+17/1440,1),"HH:MM")</f>
        <v/>
      </c>
      <c r="AY13" s="15">
        <f>TEXT(MOD(TIMEVALUE(AY5)+17/1440,1),"HH:MM")</f>
        <v/>
      </c>
      <c r="AZ13" s="15">
        <f>TEXT(MOD(TIMEVALUE(AZ5)+17/1440,1),"HH:MM")</f>
        <v/>
      </c>
      <c r="BA13" s="15">
        <f>TEXT(MOD(TIMEVALUE(BA5)+17/1440,1),"HH:MM")</f>
        <v/>
      </c>
      <c r="BB13" s="15">
        <f>TEXT(MOD(TIMEVALUE(BB5)+17/1440,1),"HH:MM")</f>
        <v/>
      </c>
      <c r="BC13" s="15">
        <f>TEXT(MOD(TIMEVALUE(BC5)+17/1440,1),"HH:MM")</f>
        <v/>
      </c>
      <c r="BD13" s="15">
        <f>TEXT(MOD(TIMEVALUE(BD5)+17/1440,1),"HH:MM")</f>
        <v/>
      </c>
      <c r="BE13" s="15">
        <f>TEXT(MOD(TIMEVALUE(BE5)+17/1440,1),"HH:MM")</f>
        <v/>
      </c>
      <c r="BF13" s="15">
        <f>TEXT(MOD(TIMEVALUE(BF5)+17/1440,1),"HH:MM")</f>
        <v/>
      </c>
      <c r="BG13" s="15">
        <f>TEXT(MOD(TIMEVALUE(BG5)+17/1440,1),"HH:MM")</f>
        <v/>
      </c>
      <c r="BH13" s="15">
        <f>TEXT(MOD(TIMEVALUE(BH5)+17/1440,1),"HH:MM")</f>
        <v/>
      </c>
      <c r="BI13" s="15">
        <f>TEXT(MOD(TIMEVALUE(BI5)+17/1440,1),"HH:MM")</f>
        <v/>
      </c>
      <c r="BJ13" s="15">
        <f>TEXT(MOD(TIMEVALUE(BJ5)+17/1440,1),"HH:MM")</f>
        <v/>
      </c>
      <c r="BK13" s="15">
        <f>TEXT(MOD(TIMEVALUE(BK5)+17/1440,1),"HH:MM")</f>
        <v/>
      </c>
      <c r="BL13" s="15">
        <f>TEXT(MOD(TIMEVALUE(BL5)+17/1440,1),"HH:MM")</f>
        <v/>
      </c>
      <c r="BM13" s="15">
        <f>TEXT(MOD(TIMEVALUE(BM5)+17/1440,1),"HH:MM")</f>
        <v/>
      </c>
    </row>
    <row r="14" ht="16.5" customHeight="1" s="26">
      <c r="A14" s="22" t="inlineStr">
        <is>
          <t>Tropezón</t>
        </is>
      </c>
      <c r="B14" s="13">
        <f>TEXT(MOD(TIMEVALUE(B5)+19/1440,1),"HH:MM")</f>
        <v/>
      </c>
      <c r="C14" s="13">
        <f>TEXT(MOD(TIMEVALUE(C5)+19/1440,1),"HH:MM")</f>
        <v/>
      </c>
      <c r="D14" s="13">
        <f>TEXT(MOD(TIMEVALUE(D5)+19/1440,1),"HH:MM")</f>
        <v/>
      </c>
      <c r="E14" s="13">
        <f>TEXT(MOD(TIMEVALUE(E5)+19/1440,1),"HH:MM")</f>
        <v/>
      </c>
      <c r="F14" s="13">
        <f>TEXT(MOD(TIMEVALUE(F5)+19/1440,1),"HH:MM")</f>
        <v/>
      </c>
      <c r="G14" s="13">
        <f>TEXT(MOD(TIMEVALUE(G5)+19/1440,1),"HH:MM")</f>
        <v/>
      </c>
      <c r="H14" s="13">
        <f>TEXT(MOD(TIMEVALUE(H5)+19/1440,1),"HH:MM")</f>
        <v/>
      </c>
      <c r="I14" s="13">
        <f>TEXT(MOD(TIMEVALUE(I5)+19/1440,1),"HH:MM")</f>
        <v/>
      </c>
      <c r="J14" s="13">
        <f>TEXT(MOD(TIMEVALUE(J5)+19/1440,1),"HH:MM")</f>
        <v/>
      </c>
      <c r="K14" s="13">
        <f>TEXT(MOD(TIMEVALUE(K5)+19/1440,1),"HH:MM")</f>
        <v/>
      </c>
      <c r="L14" s="13">
        <f>TEXT(MOD(TIMEVALUE(L5)+19/1440,1),"HH:MM")</f>
        <v/>
      </c>
      <c r="M14" s="13">
        <f>TEXT(MOD(TIMEVALUE(M5)+19/1440,1),"HH:MM")</f>
        <v/>
      </c>
      <c r="N14" s="13">
        <f>TEXT(MOD(TIMEVALUE(N5)+19/1440,1),"HH:MM")</f>
        <v/>
      </c>
      <c r="O14" s="13">
        <f>TEXT(MOD(TIMEVALUE(O5)+19/1440,1),"HH:MM")</f>
        <v/>
      </c>
      <c r="P14" s="13">
        <f>TEXT(MOD(TIMEVALUE(P5)+19/1440,1),"HH:MM")</f>
        <v/>
      </c>
      <c r="Q14" s="13">
        <f>TEXT(MOD(TIMEVALUE(Q5)+19/1440,1),"HH:MM")</f>
        <v/>
      </c>
      <c r="R14" s="13">
        <f>TEXT(MOD(TIMEVALUE(R5)+19/1440,1),"HH:MM")</f>
        <v/>
      </c>
      <c r="S14" s="13">
        <f>TEXT(MOD(TIMEVALUE(S5)+19/1440,1),"HH:MM")</f>
        <v/>
      </c>
      <c r="T14" s="13">
        <f>TEXT(MOD(TIMEVALUE(T5)+19/1440,1),"HH:MM")</f>
        <v/>
      </c>
      <c r="U14" s="13">
        <f>TEXT(MOD(TIMEVALUE(U5)+19/1440,1),"HH:MM")</f>
        <v/>
      </c>
      <c r="V14" s="13">
        <f>TEXT(MOD(TIMEVALUE(V5)+19/1440,1),"HH:MM")</f>
        <v/>
      </c>
      <c r="W14" s="13">
        <f>TEXT(MOD(TIMEVALUE(W5)+19/1440,1),"HH:MM")</f>
        <v/>
      </c>
      <c r="X14" s="13">
        <f>TEXT(MOD(TIMEVALUE(X5)+19/1440,1),"HH:MM")</f>
        <v/>
      </c>
      <c r="Y14" s="13">
        <f>TEXT(MOD(TIMEVALUE(Y5)+19/1440,1),"HH:MM")</f>
        <v/>
      </c>
      <c r="Z14" s="13">
        <f>TEXT(MOD(TIMEVALUE(Z5)+19/1440,1),"HH:MM")</f>
        <v/>
      </c>
      <c r="AA14" s="13">
        <f>TEXT(MOD(TIMEVALUE(AA5)+19/1440,1),"HH:MM")</f>
        <v/>
      </c>
      <c r="AB14" s="13">
        <f>TEXT(MOD(TIMEVALUE(AB5)+19/1440,1),"HH:MM")</f>
        <v/>
      </c>
      <c r="AC14" s="13">
        <f>TEXT(MOD(TIMEVALUE(AC5)+19/1440,1),"HH:MM")</f>
        <v/>
      </c>
      <c r="AD14" s="13">
        <f>TEXT(MOD(TIMEVALUE(AD5)+19/1440,1),"HH:MM")</f>
        <v/>
      </c>
      <c r="AE14" s="13">
        <f>TEXT(MOD(TIMEVALUE(AE5)+19/1440,1),"HH:MM")</f>
        <v/>
      </c>
      <c r="AF14" s="13">
        <f>TEXT(MOD(TIMEVALUE(AF5)+19/1440,1),"HH:MM")</f>
        <v/>
      </c>
      <c r="AG14" s="13">
        <f>TEXT(MOD(TIMEVALUE(AG5)+19/1440,1),"HH:MM")</f>
        <v/>
      </c>
      <c r="AH14" s="13">
        <f>TEXT(MOD(TIMEVALUE(AH5)+19/1440,1),"HH:MM")</f>
        <v/>
      </c>
      <c r="AI14" s="13">
        <f>TEXT(MOD(TIMEVALUE(AI5)+19/1440,1),"HH:MM")</f>
        <v/>
      </c>
      <c r="AJ14" s="13">
        <f>TEXT(MOD(TIMEVALUE(AJ5)+19/1440,1),"HH:MM")</f>
        <v/>
      </c>
      <c r="AK14" s="13">
        <f>TEXT(MOD(TIMEVALUE(AK5)+19/1440,1),"HH:MM")</f>
        <v/>
      </c>
      <c r="AL14" s="13">
        <f>TEXT(MOD(TIMEVALUE(AL5)+19/1440,1),"HH:MM")</f>
        <v/>
      </c>
      <c r="AM14" s="13">
        <f>TEXT(MOD(TIMEVALUE(AM5)+19/1440,1),"HH:MM")</f>
        <v/>
      </c>
      <c r="AN14" s="13">
        <f>TEXT(MOD(TIMEVALUE(AN5)+19/1440,1),"HH:MM")</f>
        <v/>
      </c>
      <c r="AO14" s="13">
        <f>TEXT(MOD(TIMEVALUE(AO5)+19/1440,1),"HH:MM")</f>
        <v/>
      </c>
      <c r="AP14" s="13">
        <f>TEXT(MOD(TIMEVALUE(AP5)+19/1440,1),"HH:MM")</f>
        <v/>
      </c>
      <c r="AQ14" s="13">
        <f>TEXT(MOD(TIMEVALUE(AQ5)+19/1440,1),"HH:MM")</f>
        <v/>
      </c>
      <c r="AR14" s="13">
        <f>TEXT(MOD(TIMEVALUE(AR5)+19/1440,1),"HH:MM")</f>
        <v/>
      </c>
      <c r="AS14" s="13">
        <f>TEXT(MOD(TIMEVALUE(AS5)+19/1440,1),"HH:MM")</f>
        <v/>
      </c>
      <c r="AT14" s="13">
        <f>TEXT(MOD(TIMEVALUE(AT5)+19/1440,1),"HH:MM")</f>
        <v/>
      </c>
      <c r="AU14" s="13">
        <f>TEXT(MOD(TIMEVALUE(AU5)+19/1440,1),"HH:MM")</f>
        <v/>
      </c>
      <c r="AV14" s="13">
        <f>TEXT(MOD(TIMEVALUE(AV5)+19/1440,1),"HH:MM")</f>
        <v/>
      </c>
      <c r="AW14" s="13">
        <f>TEXT(MOD(TIMEVALUE(AW5)+19/1440,1),"HH:MM")</f>
        <v/>
      </c>
      <c r="AX14" s="13">
        <f>TEXT(MOD(TIMEVALUE(AX5)+19/1440,1),"HH:MM")</f>
        <v/>
      </c>
      <c r="AY14" s="13">
        <f>TEXT(MOD(TIMEVALUE(AY5)+19/1440,1),"HH:MM")</f>
        <v/>
      </c>
      <c r="AZ14" s="13">
        <f>TEXT(MOD(TIMEVALUE(AZ5)+19/1440,1),"HH:MM")</f>
        <v/>
      </c>
      <c r="BA14" s="13">
        <f>TEXT(MOD(TIMEVALUE(BA5)+19/1440,1),"HH:MM")</f>
        <v/>
      </c>
      <c r="BB14" s="13">
        <f>TEXT(MOD(TIMEVALUE(BB5)+19/1440,1),"HH:MM")</f>
        <v/>
      </c>
      <c r="BC14" s="13">
        <f>TEXT(MOD(TIMEVALUE(BC5)+19/1440,1),"HH:MM")</f>
        <v/>
      </c>
      <c r="BD14" s="13">
        <f>TEXT(MOD(TIMEVALUE(BD5)+19/1440,1),"HH:MM")</f>
        <v/>
      </c>
      <c r="BE14" s="13">
        <f>TEXT(MOD(TIMEVALUE(BE5)+19/1440,1),"HH:MM")</f>
        <v/>
      </c>
      <c r="BF14" s="13">
        <f>TEXT(MOD(TIMEVALUE(BF5)+19/1440,1),"HH:MM")</f>
        <v/>
      </c>
      <c r="BG14" s="13">
        <f>TEXT(MOD(TIMEVALUE(BG5)+19/1440,1),"HH:MM")</f>
        <v/>
      </c>
      <c r="BH14" s="13">
        <f>TEXT(MOD(TIMEVALUE(BH5)+19/1440,1),"HH:MM")</f>
        <v/>
      </c>
      <c r="BI14" s="13">
        <f>TEXT(MOD(TIMEVALUE(BI5)+19/1440,1),"HH:MM")</f>
        <v/>
      </c>
      <c r="BJ14" s="13">
        <f>TEXT(MOD(TIMEVALUE(BJ5)+19/1440,1),"HH:MM")</f>
        <v/>
      </c>
      <c r="BK14" s="13">
        <f>TEXT(MOD(TIMEVALUE(BK5)+19/1440,1),"HH:MM")</f>
        <v/>
      </c>
      <c r="BL14" s="13">
        <f>TEXT(MOD(TIMEVALUE(BL5)+19/1440,1),"HH:MM")</f>
        <v/>
      </c>
      <c r="BM14" s="13">
        <f>TEXT(MOD(TIMEVALUE(BM5)+19/1440,1),"HH:MM")</f>
        <v/>
      </c>
    </row>
    <row r="15" ht="16.5" customHeight="1" s="26">
      <c r="A15" s="23" t="inlineStr">
        <is>
          <t>José M. Bosch</t>
        </is>
      </c>
      <c r="B15" s="15">
        <f>TEXT(MOD(TIMEVALUE(B5)+21/1440,1),"HH:MM")</f>
        <v/>
      </c>
      <c r="C15" s="15">
        <f>TEXT(MOD(TIMEVALUE(C5)+21/1440,1),"HH:MM")</f>
        <v/>
      </c>
      <c r="D15" s="15">
        <f>TEXT(MOD(TIMEVALUE(D5)+21/1440,1),"HH:MM")</f>
        <v/>
      </c>
      <c r="E15" s="15">
        <f>TEXT(MOD(TIMEVALUE(E5)+21/1440,1),"HH:MM")</f>
        <v/>
      </c>
      <c r="F15" s="15">
        <f>TEXT(MOD(TIMEVALUE(F5)+21/1440,1),"HH:MM")</f>
        <v/>
      </c>
      <c r="G15" s="15">
        <f>TEXT(MOD(TIMEVALUE(G5)+21/1440,1),"HH:MM")</f>
        <v/>
      </c>
      <c r="H15" s="15">
        <f>TEXT(MOD(TIMEVALUE(H5)+21/1440,1),"HH:MM")</f>
        <v/>
      </c>
      <c r="I15" s="15">
        <f>TEXT(MOD(TIMEVALUE(I5)+21/1440,1),"HH:MM")</f>
        <v/>
      </c>
      <c r="J15" s="15">
        <f>TEXT(MOD(TIMEVALUE(J5)+21/1440,1),"HH:MM")</f>
        <v/>
      </c>
      <c r="K15" s="15">
        <f>TEXT(MOD(TIMEVALUE(K5)+21/1440,1),"HH:MM")</f>
        <v/>
      </c>
      <c r="L15" s="15">
        <f>TEXT(MOD(TIMEVALUE(L5)+21/1440,1),"HH:MM")</f>
        <v/>
      </c>
      <c r="M15" s="15">
        <f>TEXT(MOD(TIMEVALUE(M5)+21/1440,1),"HH:MM")</f>
        <v/>
      </c>
      <c r="N15" s="15">
        <f>TEXT(MOD(TIMEVALUE(N5)+21/1440,1),"HH:MM")</f>
        <v/>
      </c>
      <c r="O15" s="15">
        <f>TEXT(MOD(TIMEVALUE(O5)+21/1440,1),"HH:MM")</f>
        <v/>
      </c>
      <c r="P15" s="15">
        <f>TEXT(MOD(TIMEVALUE(P5)+21/1440,1),"HH:MM")</f>
        <v/>
      </c>
      <c r="Q15" s="15">
        <f>TEXT(MOD(TIMEVALUE(Q5)+21/1440,1),"HH:MM")</f>
        <v/>
      </c>
      <c r="R15" s="15">
        <f>TEXT(MOD(TIMEVALUE(R5)+21/1440,1),"HH:MM")</f>
        <v/>
      </c>
      <c r="S15" s="15">
        <f>TEXT(MOD(TIMEVALUE(S5)+21/1440,1),"HH:MM")</f>
        <v/>
      </c>
      <c r="T15" s="15">
        <f>TEXT(MOD(TIMEVALUE(T5)+21/1440,1),"HH:MM")</f>
        <v/>
      </c>
      <c r="U15" s="15">
        <f>TEXT(MOD(TIMEVALUE(U5)+21/1440,1),"HH:MM")</f>
        <v/>
      </c>
      <c r="V15" s="15">
        <f>TEXT(MOD(TIMEVALUE(V5)+21/1440,1),"HH:MM")</f>
        <v/>
      </c>
      <c r="W15" s="15">
        <f>TEXT(MOD(TIMEVALUE(W5)+21/1440,1),"HH:MM")</f>
        <v/>
      </c>
      <c r="X15" s="15">
        <f>TEXT(MOD(TIMEVALUE(X5)+21/1440,1),"HH:MM")</f>
        <v/>
      </c>
      <c r="Y15" s="15">
        <f>TEXT(MOD(TIMEVALUE(Y5)+21/1440,1),"HH:MM")</f>
        <v/>
      </c>
      <c r="Z15" s="15">
        <f>TEXT(MOD(TIMEVALUE(Z5)+21/1440,1),"HH:MM")</f>
        <v/>
      </c>
      <c r="AA15" s="15">
        <f>TEXT(MOD(TIMEVALUE(AA5)+21/1440,1),"HH:MM")</f>
        <v/>
      </c>
      <c r="AB15" s="15">
        <f>TEXT(MOD(TIMEVALUE(AB5)+21/1440,1),"HH:MM")</f>
        <v/>
      </c>
      <c r="AC15" s="15">
        <f>TEXT(MOD(TIMEVALUE(AC5)+21/1440,1),"HH:MM")</f>
        <v/>
      </c>
      <c r="AD15" s="15">
        <f>TEXT(MOD(TIMEVALUE(AD5)+21/1440,1),"HH:MM")</f>
        <v/>
      </c>
      <c r="AE15" s="15">
        <f>TEXT(MOD(TIMEVALUE(AE5)+21/1440,1),"HH:MM")</f>
        <v/>
      </c>
      <c r="AF15" s="15">
        <f>TEXT(MOD(TIMEVALUE(AF5)+21/1440,1),"HH:MM")</f>
        <v/>
      </c>
      <c r="AG15" s="15">
        <f>TEXT(MOD(TIMEVALUE(AG5)+21/1440,1),"HH:MM")</f>
        <v/>
      </c>
      <c r="AH15" s="15">
        <f>TEXT(MOD(TIMEVALUE(AH5)+21/1440,1),"HH:MM")</f>
        <v/>
      </c>
      <c r="AI15" s="15">
        <f>TEXT(MOD(TIMEVALUE(AI5)+21/1440,1),"HH:MM")</f>
        <v/>
      </c>
      <c r="AJ15" s="15">
        <f>TEXT(MOD(TIMEVALUE(AJ5)+21/1440,1),"HH:MM")</f>
        <v/>
      </c>
      <c r="AK15" s="15">
        <f>TEXT(MOD(TIMEVALUE(AK5)+21/1440,1),"HH:MM")</f>
        <v/>
      </c>
      <c r="AL15" s="15">
        <f>TEXT(MOD(TIMEVALUE(AL5)+21/1440,1),"HH:MM")</f>
        <v/>
      </c>
      <c r="AM15" s="15">
        <f>TEXT(MOD(TIMEVALUE(AM5)+21/1440,1),"HH:MM")</f>
        <v/>
      </c>
      <c r="AN15" s="15">
        <f>TEXT(MOD(TIMEVALUE(AN5)+21/1440,1),"HH:MM")</f>
        <v/>
      </c>
      <c r="AO15" s="15">
        <f>TEXT(MOD(TIMEVALUE(AO5)+21/1440,1),"HH:MM")</f>
        <v/>
      </c>
      <c r="AP15" s="15">
        <f>TEXT(MOD(TIMEVALUE(AP5)+21/1440,1),"HH:MM")</f>
        <v/>
      </c>
      <c r="AQ15" s="15">
        <f>TEXT(MOD(TIMEVALUE(AQ5)+21/1440,1),"HH:MM")</f>
        <v/>
      </c>
      <c r="AR15" s="15">
        <f>TEXT(MOD(TIMEVALUE(AR5)+21/1440,1),"HH:MM")</f>
        <v/>
      </c>
      <c r="AS15" s="15">
        <f>TEXT(MOD(TIMEVALUE(AS5)+21/1440,1),"HH:MM")</f>
        <v/>
      </c>
      <c r="AT15" s="15">
        <f>TEXT(MOD(TIMEVALUE(AT5)+21/1440,1),"HH:MM")</f>
        <v/>
      </c>
      <c r="AU15" s="15">
        <f>TEXT(MOD(TIMEVALUE(AU5)+21/1440,1),"HH:MM")</f>
        <v/>
      </c>
      <c r="AV15" s="15">
        <f>TEXT(MOD(TIMEVALUE(AV5)+21/1440,1),"HH:MM")</f>
        <v/>
      </c>
      <c r="AW15" s="15">
        <f>TEXT(MOD(TIMEVALUE(AW5)+21/1440,1),"HH:MM")</f>
        <v/>
      </c>
      <c r="AX15" s="15">
        <f>TEXT(MOD(TIMEVALUE(AX5)+21/1440,1),"HH:MM")</f>
        <v/>
      </c>
      <c r="AY15" s="15">
        <f>TEXT(MOD(TIMEVALUE(AY5)+21/1440,1),"HH:MM")</f>
        <v/>
      </c>
      <c r="AZ15" s="15">
        <f>TEXT(MOD(TIMEVALUE(AZ5)+21/1440,1),"HH:MM")</f>
        <v/>
      </c>
      <c r="BA15" s="15">
        <f>TEXT(MOD(TIMEVALUE(BA5)+21/1440,1),"HH:MM")</f>
        <v/>
      </c>
      <c r="BB15" s="15">
        <f>TEXT(MOD(TIMEVALUE(BB5)+21/1440,1),"HH:MM")</f>
        <v/>
      </c>
      <c r="BC15" s="15">
        <f>TEXT(MOD(TIMEVALUE(BC5)+21/1440,1),"HH:MM")</f>
        <v/>
      </c>
      <c r="BD15" s="15">
        <f>TEXT(MOD(TIMEVALUE(BD5)+21/1440,1),"HH:MM")</f>
        <v/>
      </c>
      <c r="BE15" s="15">
        <f>TEXT(MOD(TIMEVALUE(BE5)+21/1440,1),"HH:MM")</f>
        <v/>
      </c>
      <c r="BF15" s="15">
        <f>TEXT(MOD(TIMEVALUE(BF5)+21/1440,1),"HH:MM")</f>
        <v/>
      </c>
      <c r="BG15" s="15">
        <f>TEXT(MOD(TIMEVALUE(BG5)+21/1440,1),"HH:MM")</f>
        <v/>
      </c>
      <c r="BH15" s="15">
        <f>TEXT(MOD(TIMEVALUE(BH5)+21/1440,1),"HH:MM")</f>
        <v/>
      </c>
      <c r="BI15" s="15">
        <f>TEXT(MOD(TIMEVALUE(BI5)+21/1440,1),"HH:MM")</f>
        <v/>
      </c>
      <c r="BJ15" s="15">
        <f>TEXT(MOD(TIMEVALUE(BJ5)+21/1440,1),"HH:MM")</f>
        <v/>
      </c>
      <c r="BK15" s="15">
        <f>TEXT(MOD(TIMEVALUE(BK5)+21/1440,1),"HH:MM")</f>
        <v/>
      </c>
      <c r="BL15" s="15">
        <f>TEXT(MOD(TIMEVALUE(BL5)+21/1440,1),"HH:MM")</f>
        <v/>
      </c>
      <c r="BM15" s="15">
        <f>TEXT(MOD(TIMEVALUE(BM5)+21/1440,1),"HH:MM")</f>
        <v/>
      </c>
    </row>
    <row r="16" ht="16.5" customHeight="1" s="26">
      <c r="A16" s="22" t="inlineStr">
        <is>
          <t>Martín Coronado</t>
        </is>
      </c>
      <c r="B16" s="13">
        <f>TEXT(MOD(TIMEVALUE(B5)+24/1440,1),"HH:MM")</f>
        <v/>
      </c>
      <c r="C16" s="13">
        <f>TEXT(MOD(TIMEVALUE(C5)+24/1440,1),"HH:MM")</f>
        <v/>
      </c>
      <c r="D16" s="13">
        <f>TEXT(MOD(TIMEVALUE(D5)+24/1440,1),"HH:MM")</f>
        <v/>
      </c>
      <c r="E16" s="13">
        <f>TEXT(MOD(TIMEVALUE(E5)+24/1440,1),"HH:MM")</f>
        <v/>
      </c>
      <c r="F16" s="13">
        <f>TEXT(MOD(TIMEVALUE(F5)+24/1440,1),"HH:MM")</f>
        <v/>
      </c>
      <c r="G16" s="13">
        <f>TEXT(MOD(TIMEVALUE(G5)+24/1440,1),"HH:MM")</f>
        <v/>
      </c>
      <c r="H16" s="13">
        <f>TEXT(MOD(TIMEVALUE(H5)+24/1440,1),"HH:MM")</f>
        <v/>
      </c>
      <c r="I16" s="13">
        <f>TEXT(MOD(TIMEVALUE(I5)+24/1440,1),"HH:MM")</f>
        <v/>
      </c>
      <c r="J16" s="13">
        <f>TEXT(MOD(TIMEVALUE(J5)+24/1440,1),"HH:MM")</f>
        <v/>
      </c>
      <c r="K16" s="13">
        <f>TEXT(MOD(TIMEVALUE(K5)+24/1440,1),"HH:MM")</f>
        <v/>
      </c>
      <c r="L16" s="13">
        <f>TEXT(MOD(TIMEVALUE(L5)+24/1440,1),"HH:MM")</f>
        <v/>
      </c>
      <c r="M16" s="13">
        <f>TEXT(MOD(TIMEVALUE(M5)+24/1440,1),"HH:MM")</f>
        <v/>
      </c>
      <c r="N16" s="13">
        <f>TEXT(MOD(TIMEVALUE(N5)+24/1440,1),"HH:MM")</f>
        <v/>
      </c>
      <c r="O16" s="13">
        <f>TEXT(MOD(TIMEVALUE(O5)+24/1440,1),"HH:MM")</f>
        <v/>
      </c>
      <c r="P16" s="13">
        <f>TEXT(MOD(TIMEVALUE(P5)+24/1440,1),"HH:MM")</f>
        <v/>
      </c>
      <c r="Q16" s="13">
        <f>TEXT(MOD(TIMEVALUE(Q5)+24/1440,1),"HH:MM")</f>
        <v/>
      </c>
      <c r="R16" s="13">
        <f>TEXT(MOD(TIMEVALUE(R5)+24/1440,1),"HH:MM")</f>
        <v/>
      </c>
      <c r="S16" s="13">
        <f>TEXT(MOD(TIMEVALUE(S5)+24/1440,1),"HH:MM")</f>
        <v/>
      </c>
      <c r="T16" s="13">
        <f>TEXT(MOD(TIMEVALUE(T5)+24/1440,1),"HH:MM")</f>
        <v/>
      </c>
      <c r="U16" s="13">
        <f>TEXT(MOD(TIMEVALUE(U5)+24/1440,1),"HH:MM")</f>
        <v/>
      </c>
      <c r="V16" s="13">
        <f>TEXT(MOD(TIMEVALUE(V5)+24/1440,1),"HH:MM")</f>
        <v/>
      </c>
      <c r="W16" s="13">
        <f>TEXT(MOD(TIMEVALUE(W5)+24/1440,1),"HH:MM")</f>
        <v/>
      </c>
      <c r="X16" s="13">
        <f>TEXT(MOD(TIMEVALUE(X5)+24/1440,1),"HH:MM")</f>
        <v/>
      </c>
      <c r="Y16" s="13">
        <f>TEXT(MOD(TIMEVALUE(Y5)+24/1440,1),"HH:MM")</f>
        <v/>
      </c>
      <c r="Z16" s="13">
        <f>TEXT(MOD(TIMEVALUE(Z5)+24/1440,1),"HH:MM")</f>
        <v/>
      </c>
      <c r="AA16" s="13">
        <f>TEXT(MOD(TIMEVALUE(AA5)+24/1440,1),"HH:MM")</f>
        <v/>
      </c>
      <c r="AB16" s="13">
        <f>TEXT(MOD(TIMEVALUE(AB5)+24/1440,1),"HH:MM")</f>
        <v/>
      </c>
      <c r="AC16" s="13">
        <f>TEXT(MOD(TIMEVALUE(AC5)+24/1440,1),"HH:MM")</f>
        <v/>
      </c>
      <c r="AD16" s="13">
        <f>TEXT(MOD(TIMEVALUE(AD5)+24/1440,1),"HH:MM")</f>
        <v/>
      </c>
      <c r="AE16" s="13">
        <f>TEXT(MOD(TIMEVALUE(AE5)+24/1440,1),"HH:MM")</f>
        <v/>
      </c>
      <c r="AF16" s="13">
        <f>TEXT(MOD(TIMEVALUE(AF5)+24/1440,1),"HH:MM")</f>
        <v/>
      </c>
      <c r="AG16" s="13">
        <f>TEXT(MOD(TIMEVALUE(AG5)+24/1440,1),"HH:MM")</f>
        <v/>
      </c>
      <c r="AH16" s="13">
        <f>TEXT(MOD(TIMEVALUE(AH5)+24/1440,1),"HH:MM")</f>
        <v/>
      </c>
      <c r="AI16" s="13">
        <f>TEXT(MOD(TIMEVALUE(AI5)+24/1440,1),"HH:MM")</f>
        <v/>
      </c>
      <c r="AJ16" s="13">
        <f>TEXT(MOD(TIMEVALUE(AJ5)+24/1440,1),"HH:MM")</f>
        <v/>
      </c>
      <c r="AK16" s="13">
        <f>TEXT(MOD(TIMEVALUE(AK5)+24/1440,1),"HH:MM")</f>
        <v/>
      </c>
      <c r="AL16" s="13">
        <f>TEXT(MOD(TIMEVALUE(AL5)+24/1440,1),"HH:MM")</f>
        <v/>
      </c>
      <c r="AM16" s="13">
        <f>TEXT(MOD(TIMEVALUE(AM5)+24/1440,1),"HH:MM")</f>
        <v/>
      </c>
      <c r="AN16" s="13">
        <f>TEXT(MOD(TIMEVALUE(AN5)+24/1440,1),"HH:MM")</f>
        <v/>
      </c>
      <c r="AO16" s="13">
        <f>TEXT(MOD(TIMEVALUE(AO5)+24/1440,1),"HH:MM")</f>
        <v/>
      </c>
      <c r="AP16" s="13">
        <f>TEXT(MOD(TIMEVALUE(AP5)+24/1440,1),"HH:MM")</f>
        <v/>
      </c>
      <c r="AQ16" s="13">
        <f>TEXT(MOD(TIMEVALUE(AQ5)+24/1440,1),"HH:MM")</f>
        <v/>
      </c>
      <c r="AR16" s="13">
        <f>TEXT(MOD(TIMEVALUE(AR5)+24/1440,1),"HH:MM")</f>
        <v/>
      </c>
      <c r="AS16" s="13">
        <f>TEXT(MOD(TIMEVALUE(AS5)+24/1440,1),"HH:MM")</f>
        <v/>
      </c>
      <c r="AT16" s="13">
        <f>TEXT(MOD(TIMEVALUE(AT5)+24/1440,1),"HH:MM")</f>
        <v/>
      </c>
      <c r="AU16" s="13">
        <f>TEXT(MOD(TIMEVALUE(AU5)+24/1440,1),"HH:MM")</f>
        <v/>
      </c>
      <c r="AV16" s="13">
        <f>TEXT(MOD(TIMEVALUE(AV5)+24/1440,1),"HH:MM")</f>
        <v/>
      </c>
      <c r="AW16" s="13">
        <f>TEXT(MOD(TIMEVALUE(AW5)+24/1440,1),"HH:MM")</f>
        <v/>
      </c>
      <c r="AX16" s="13">
        <f>TEXT(MOD(TIMEVALUE(AX5)+24/1440,1),"HH:MM")</f>
        <v/>
      </c>
      <c r="AY16" s="13">
        <f>TEXT(MOD(TIMEVALUE(AY5)+24/1440,1),"HH:MM")</f>
        <v/>
      </c>
      <c r="AZ16" s="13">
        <f>TEXT(MOD(TIMEVALUE(AZ5)+24/1440,1),"HH:MM")</f>
        <v/>
      </c>
      <c r="BA16" s="13">
        <f>TEXT(MOD(TIMEVALUE(BA5)+24/1440,1),"HH:MM")</f>
        <v/>
      </c>
      <c r="BB16" s="13">
        <f>TEXT(MOD(TIMEVALUE(BB5)+24/1440,1),"HH:MM")</f>
        <v/>
      </c>
      <c r="BC16" s="13">
        <f>TEXT(MOD(TIMEVALUE(BC5)+24/1440,1),"HH:MM")</f>
        <v/>
      </c>
      <c r="BD16" s="13">
        <f>TEXT(MOD(TIMEVALUE(BD5)+24/1440,1),"HH:MM")</f>
        <v/>
      </c>
      <c r="BE16" s="13">
        <f>TEXT(MOD(TIMEVALUE(BE5)+24/1440,1),"HH:MM")</f>
        <v/>
      </c>
      <c r="BF16" s="13">
        <f>TEXT(MOD(TIMEVALUE(BF5)+24/1440,1),"HH:MM")</f>
        <v/>
      </c>
      <c r="BG16" s="13">
        <f>TEXT(MOD(TIMEVALUE(BG5)+24/1440,1),"HH:MM")</f>
        <v/>
      </c>
      <c r="BH16" s="13">
        <f>TEXT(MOD(TIMEVALUE(BH5)+24/1440,1),"HH:MM")</f>
        <v/>
      </c>
      <c r="BI16" s="13">
        <f>TEXT(MOD(TIMEVALUE(BI5)+24/1440,1),"HH:MM")</f>
        <v/>
      </c>
      <c r="BJ16" s="13">
        <f>TEXT(MOD(TIMEVALUE(BJ5)+24/1440,1),"HH:MM")</f>
        <v/>
      </c>
      <c r="BK16" s="13">
        <f>TEXT(MOD(TIMEVALUE(BK5)+24/1440,1),"HH:MM")</f>
        <v/>
      </c>
      <c r="BL16" s="13">
        <f>TEXT(MOD(TIMEVALUE(BL5)+24/1440,1),"HH:MM")</f>
        <v/>
      </c>
      <c r="BM16" s="13">
        <f>TEXT(MOD(TIMEVALUE(BM5)+24/1440,1),"HH:MM")</f>
        <v/>
      </c>
    </row>
    <row r="17" ht="16.5" customHeight="1" s="26">
      <c r="A17" s="23" t="inlineStr">
        <is>
          <t>Pedro Podestá</t>
        </is>
      </c>
      <c r="B17" s="15">
        <f>TEXT(MOD(TIMEVALUE(B5)+26/1440,1),"HH:MM")</f>
        <v/>
      </c>
      <c r="C17" s="15">
        <f>TEXT(MOD(TIMEVALUE(C5)+26/1440,1),"HH:MM")</f>
        <v/>
      </c>
      <c r="D17" s="15">
        <f>TEXT(MOD(TIMEVALUE(D5)+26/1440,1),"HH:MM")</f>
        <v/>
      </c>
      <c r="E17" s="15">
        <f>TEXT(MOD(TIMEVALUE(E5)+26/1440,1),"HH:MM")</f>
        <v/>
      </c>
      <c r="F17" s="15">
        <f>TEXT(MOD(TIMEVALUE(F5)+26/1440,1),"HH:MM")</f>
        <v/>
      </c>
      <c r="G17" s="15">
        <f>TEXT(MOD(TIMEVALUE(G5)+26/1440,1),"HH:MM")</f>
        <v/>
      </c>
      <c r="H17" s="15">
        <f>TEXT(MOD(TIMEVALUE(H5)+26/1440,1),"HH:MM")</f>
        <v/>
      </c>
      <c r="I17" s="15">
        <f>TEXT(MOD(TIMEVALUE(I5)+26/1440,1),"HH:MM")</f>
        <v/>
      </c>
      <c r="J17" s="15">
        <f>TEXT(MOD(TIMEVALUE(J5)+26/1440,1),"HH:MM")</f>
        <v/>
      </c>
      <c r="K17" s="15">
        <f>TEXT(MOD(TIMEVALUE(K5)+26/1440,1),"HH:MM")</f>
        <v/>
      </c>
      <c r="L17" s="15">
        <f>TEXT(MOD(TIMEVALUE(L5)+26/1440,1),"HH:MM")</f>
        <v/>
      </c>
      <c r="M17" s="15">
        <f>TEXT(MOD(TIMEVALUE(M5)+26/1440,1),"HH:MM")</f>
        <v/>
      </c>
      <c r="N17" s="15">
        <f>TEXT(MOD(TIMEVALUE(N5)+26/1440,1),"HH:MM")</f>
        <v/>
      </c>
      <c r="O17" s="15">
        <f>TEXT(MOD(TIMEVALUE(O5)+26/1440,1),"HH:MM")</f>
        <v/>
      </c>
      <c r="P17" s="15">
        <f>TEXT(MOD(TIMEVALUE(P5)+26/1440,1),"HH:MM")</f>
        <v/>
      </c>
      <c r="Q17" s="15">
        <f>TEXT(MOD(TIMEVALUE(Q5)+26/1440,1),"HH:MM")</f>
        <v/>
      </c>
      <c r="R17" s="15">
        <f>TEXT(MOD(TIMEVALUE(R5)+26/1440,1),"HH:MM")</f>
        <v/>
      </c>
      <c r="S17" s="15">
        <f>TEXT(MOD(TIMEVALUE(S5)+26/1440,1),"HH:MM")</f>
        <v/>
      </c>
      <c r="T17" s="15">
        <f>TEXT(MOD(TIMEVALUE(T5)+26/1440,1),"HH:MM")</f>
        <v/>
      </c>
      <c r="U17" s="15">
        <f>TEXT(MOD(TIMEVALUE(U5)+26/1440,1),"HH:MM")</f>
        <v/>
      </c>
      <c r="V17" s="15">
        <f>TEXT(MOD(TIMEVALUE(V5)+26/1440,1),"HH:MM")</f>
        <v/>
      </c>
      <c r="W17" s="15">
        <f>TEXT(MOD(TIMEVALUE(W5)+26/1440,1),"HH:MM")</f>
        <v/>
      </c>
      <c r="X17" s="15">
        <f>TEXT(MOD(TIMEVALUE(X5)+26/1440,1),"HH:MM")</f>
        <v/>
      </c>
      <c r="Y17" s="15">
        <f>TEXT(MOD(TIMEVALUE(Y5)+26/1440,1),"HH:MM")</f>
        <v/>
      </c>
      <c r="Z17" s="15">
        <f>TEXT(MOD(TIMEVALUE(Z5)+26/1440,1),"HH:MM")</f>
        <v/>
      </c>
      <c r="AA17" s="15">
        <f>TEXT(MOD(TIMEVALUE(AA5)+26/1440,1),"HH:MM")</f>
        <v/>
      </c>
      <c r="AB17" s="15">
        <f>TEXT(MOD(TIMEVALUE(AB5)+26/1440,1),"HH:MM")</f>
        <v/>
      </c>
      <c r="AC17" s="15">
        <f>TEXT(MOD(TIMEVALUE(AC5)+26/1440,1),"HH:MM")</f>
        <v/>
      </c>
      <c r="AD17" s="15">
        <f>TEXT(MOD(TIMEVALUE(AD5)+26/1440,1),"HH:MM")</f>
        <v/>
      </c>
      <c r="AE17" s="15">
        <f>TEXT(MOD(TIMEVALUE(AE5)+26/1440,1),"HH:MM")</f>
        <v/>
      </c>
      <c r="AF17" s="15">
        <f>TEXT(MOD(TIMEVALUE(AF5)+26/1440,1),"HH:MM")</f>
        <v/>
      </c>
      <c r="AG17" s="15">
        <f>TEXT(MOD(TIMEVALUE(AG5)+26/1440,1),"HH:MM")</f>
        <v/>
      </c>
      <c r="AH17" s="15">
        <f>TEXT(MOD(TIMEVALUE(AH5)+26/1440,1),"HH:MM")</f>
        <v/>
      </c>
      <c r="AI17" s="15">
        <f>TEXT(MOD(TIMEVALUE(AI5)+26/1440,1),"HH:MM")</f>
        <v/>
      </c>
      <c r="AJ17" s="15">
        <f>TEXT(MOD(TIMEVALUE(AJ5)+26/1440,1),"HH:MM")</f>
        <v/>
      </c>
      <c r="AK17" s="15">
        <f>TEXT(MOD(TIMEVALUE(AK5)+26/1440,1),"HH:MM")</f>
        <v/>
      </c>
      <c r="AL17" s="15">
        <f>TEXT(MOD(TIMEVALUE(AL5)+26/1440,1),"HH:MM")</f>
        <v/>
      </c>
      <c r="AM17" s="15">
        <f>TEXT(MOD(TIMEVALUE(AM5)+26/1440,1),"HH:MM")</f>
        <v/>
      </c>
      <c r="AN17" s="15">
        <f>TEXT(MOD(TIMEVALUE(AN5)+26/1440,1),"HH:MM")</f>
        <v/>
      </c>
      <c r="AO17" s="15">
        <f>TEXT(MOD(TIMEVALUE(AO5)+26/1440,1),"HH:MM")</f>
        <v/>
      </c>
      <c r="AP17" s="15">
        <f>TEXT(MOD(TIMEVALUE(AP5)+26/1440,1),"HH:MM")</f>
        <v/>
      </c>
      <c r="AQ17" s="15">
        <f>TEXT(MOD(TIMEVALUE(AQ5)+26/1440,1),"HH:MM")</f>
        <v/>
      </c>
      <c r="AR17" s="15">
        <f>TEXT(MOD(TIMEVALUE(AR5)+26/1440,1),"HH:MM")</f>
        <v/>
      </c>
      <c r="AS17" s="15">
        <f>TEXT(MOD(TIMEVALUE(AS5)+26/1440,1),"HH:MM")</f>
        <v/>
      </c>
      <c r="AT17" s="15">
        <f>TEXT(MOD(TIMEVALUE(AT5)+26/1440,1),"HH:MM")</f>
        <v/>
      </c>
      <c r="AU17" s="15">
        <f>TEXT(MOD(TIMEVALUE(AU5)+26/1440,1),"HH:MM")</f>
        <v/>
      </c>
      <c r="AV17" s="15">
        <f>TEXT(MOD(TIMEVALUE(AV5)+26/1440,1),"HH:MM")</f>
        <v/>
      </c>
      <c r="AW17" s="15">
        <f>TEXT(MOD(TIMEVALUE(AW5)+26/1440,1),"HH:MM")</f>
        <v/>
      </c>
      <c r="AX17" s="15">
        <f>TEXT(MOD(TIMEVALUE(AX5)+26/1440,1),"HH:MM")</f>
        <v/>
      </c>
      <c r="AY17" s="15">
        <f>TEXT(MOD(TIMEVALUE(AY5)+26/1440,1),"HH:MM")</f>
        <v/>
      </c>
      <c r="AZ17" s="15">
        <f>TEXT(MOD(TIMEVALUE(AZ5)+26/1440,1),"HH:MM")</f>
        <v/>
      </c>
      <c r="BA17" s="15">
        <f>TEXT(MOD(TIMEVALUE(BA5)+26/1440,1),"HH:MM")</f>
        <v/>
      </c>
      <c r="BB17" s="15">
        <f>TEXT(MOD(TIMEVALUE(BB5)+26/1440,1),"HH:MM")</f>
        <v/>
      </c>
      <c r="BC17" s="15">
        <f>TEXT(MOD(TIMEVALUE(BC5)+26/1440,1),"HH:MM")</f>
        <v/>
      </c>
      <c r="BD17" s="15">
        <f>TEXT(MOD(TIMEVALUE(BD5)+26/1440,1),"HH:MM")</f>
        <v/>
      </c>
      <c r="BE17" s="15">
        <f>TEXT(MOD(TIMEVALUE(BE5)+26/1440,1),"HH:MM")</f>
        <v/>
      </c>
      <c r="BF17" s="15">
        <f>TEXT(MOD(TIMEVALUE(BF5)+26/1440,1),"HH:MM")</f>
        <v/>
      </c>
      <c r="BG17" s="15">
        <f>TEXT(MOD(TIMEVALUE(BG5)+26/1440,1),"HH:MM")</f>
        <v/>
      </c>
      <c r="BH17" s="15">
        <f>TEXT(MOD(TIMEVALUE(BH5)+26/1440,1),"HH:MM")</f>
        <v/>
      </c>
      <c r="BI17" s="15">
        <f>TEXT(MOD(TIMEVALUE(BI5)+26/1440,1),"HH:MM")</f>
        <v/>
      </c>
      <c r="BJ17" s="15">
        <f>TEXT(MOD(TIMEVALUE(BJ5)+26/1440,1),"HH:MM")</f>
        <v/>
      </c>
      <c r="BK17" s="15">
        <f>TEXT(MOD(TIMEVALUE(BK5)+26/1440,1),"HH:MM")</f>
        <v/>
      </c>
      <c r="BL17" s="15">
        <f>TEXT(MOD(TIMEVALUE(BL5)+26/1440,1),"HH:MM")</f>
        <v/>
      </c>
      <c r="BM17" s="15">
        <f>TEXT(MOD(TIMEVALUE(BM5)+26/1440,1),"HH:MM")</f>
        <v/>
      </c>
    </row>
    <row r="18" ht="16.5" customHeight="1" s="26">
      <c r="A18" s="22" t="inlineStr">
        <is>
          <t>Jorge Newbery</t>
        </is>
      </c>
      <c r="B18" s="13">
        <f>TEXT(MOD(TIMEVALUE(B5)+28/1440,1),"HH:MM")</f>
        <v/>
      </c>
      <c r="C18" s="13">
        <f>TEXT(MOD(TIMEVALUE(C5)+28/1440,1),"HH:MM")</f>
        <v/>
      </c>
      <c r="D18" s="13">
        <f>TEXT(MOD(TIMEVALUE(D5)+28/1440,1),"HH:MM")</f>
        <v/>
      </c>
      <c r="E18" s="13">
        <f>TEXT(MOD(TIMEVALUE(E5)+28/1440,1),"HH:MM")</f>
        <v/>
      </c>
      <c r="F18" s="13">
        <f>TEXT(MOD(TIMEVALUE(F5)+28/1440,1),"HH:MM")</f>
        <v/>
      </c>
      <c r="G18" s="13">
        <f>TEXT(MOD(TIMEVALUE(G5)+28/1440,1),"HH:MM")</f>
        <v/>
      </c>
      <c r="H18" s="13">
        <f>TEXT(MOD(TIMEVALUE(H5)+28/1440,1),"HH:MM")</f>
        <v/>
      </c>
      <c r="I18" s="13">
        <f>TEXT(MOD(TIMEVALUE(I5)+28/1440,1),"HH:MM")</f>
        <v/>
      </c>
      <c r="J18" s="13">
        <f>TEXT(MOD(TIMEVALUE(J5)+28/1440,1),"HH:MM")</f>
        <v/>
      </c>
      <c r="K18" s="13">
        <f>TEXT(MOD(TIMEVALUE(K5)+28/1440,1),"HH:MM")</f>
        <v/>
      </c>
      <c r="L18" s="13">
        <f>TEXT(MOD(TIMEVALUE(L5)+28/1440,1),"HH:MM")</f>
        <v/>
      </c>
      <c r="M18" s="13">
        <f>TEXT(MOD(TIMEVALUE(M5)+28/1440,1),"HH:MM")</f>
        <v/>
      </c>
      <c r="N18" s="13">
        <f>TEXT(MOD(TIMEVALUE(N5)+28/1440,1),"HH:MM")</f>
        <v/>
      </c>
      <c r="O18" s="13">
        <f>TEXT(MOD(TIMEVALUE(O5)+28/1440,1),"HH:MM")</f>
        <v/>
      </c>
      <c r="P18" s="13">
        <f>TEXT(MOD(TIMEVALUE(P5)+28/1440,1),"HH:MM")</f>
        <v/>
      </c>
      <c r="Q18" s="13">
        <f>TEXT(MOD(TIMEVALUE(Q5)+28/1440,1),"HH:MM")</f>
        <v/>
      </c>
      <c r="R18" s="13">
        <f>TEXT(MOD(TIMEVALUE(R5)+28/1440,1),"HH:MM")</f>
        <v/>
      </c>
      <c r="S18" s="13">
        <f>TEXT(MOD(TIMEVALUE(S5)+28/1440,1),"HH:MM")</f>
        <v/>
      </c>
      <c r="T18" s="13">
        <f>TEXT(MOD(TIMEVALUE(T5)+28/1440,1),"HH:MM")</f>
        <v/>
      </c>
      <c r="U18" s="13">
        <f>TEXT(MOD(TIMEVALUE(U5)+28/1440,1),"HH:MM")</f>
        <v/>
      </c>
      <c r="V18" s="13">
        <f>TEXT(MOD(TIMEVALUE(V5)+28/1440,1),"HH:MM")</f>
        <v/>
      </c>
      <c r="W18" s="13">
        <f>TEXT(MOD(TIMEVALUE(W5)+28/1440,1),"HH:MM")</f>
        <v/>
      </c>
      <c r="X18" s="13">
        <f>TEXT(MOD(TIMEVALUE(X5)+28/1440,1),"HH:MM")</f>
        <v/>
      </c>
      <c r="Y18" s="13">
        <f>TEXT(MOD(TIMEVALUE(Y5)+28/1440,1),"HH:MM")</f>
        <v/>
      </c>
      <c r="Z18" s="13">
        <f>TEXT(MOD(TIMEVALUE(Z5)+28/1440,1),"HH:MM")</f>
        <v/>
      </c>
      <c r="AA18" s="13">
        <f>TEXT(MOD(TIMEVALUE(AA5)+28/1440,1),"HH:MM")</f>
        <v/>
      </c>
      <c r="AB18" s="13">
        <f>TEXT(MOD(TIMEVALUE(AB5)+28/1440,1),"HH:MM")</f>
        <v/>
      </c>
      <c r="AC18" s="13">
        <f>TEXT(MOD(TIMEVALUE(AC5)+28/1440,1),"HH:MM")</f>
        <v/>
      </c>
      <c r="AD18" s="13">
        <f>TEXT(MOD(TIMEVALUE(AD5)+28/1440,1),"HH:MM")</f>
        <v/>
      </c>
      <c r="AE18" s="13">
        <f>TEXT(MOD(TIMEVALUE(AE5)+28/1440,1),"HH:MM")</f>
        <v/>
      </c>
      <c r="AF18" s="13">
        <f>TEXT(MOD(TIMEVALUE(AF5)+28/1440,1),"HH:MM")</f>
        <v/>
      </c>
      <c r="AG18" s="13">
        <f>TEXT(MOD(TIMEVALUE(AG5)+28/1440,1),"HH:MM")</f>
        <v/>
      </c>
      <c r="AH18" s="13">
        <f>TEXT(MOD(TIMEVALUE(AH5)+28/1440,1),"HH:MM")</f>
        <v/>
      </c>
      <c r="AI18" s="13">
        <f>TEXT(MOD(TIMEVALUE(AI5)+28/1440,1),"HH:MM")</f>
        <v/>
      </c>
      <c r="AJ18" s="13">
        <f>TEXT(MOD(TIMEVALUE(AJ5)+28/1440,1),"HH:MM")</f>
        <v/>
      </c>
      <c r="AK18" s="13">
        <f>TEXT(MOD(TIMEVALUE(AK5)+28/1440,1),"HH:MM")</f>
        <v/>
      </c>
      <c r="AL18" s="13">
        <f>TEXT(MOD(TIMEVALUE(AL5)+28/1440,1),"HH:MM")</f>
        <v/>
      </c>
      <c r="AM18" s="13">
        <f>TEXT(MOD(TIMEVALUE(AM5)+28/1440,1),"HH:MM")</f>
        <v/>
      </c>
      <c r="AN18" s="13">
        <f>TEXT(MOD(TIMEVALUE(AN5)+28/1440,1),"HH:MM")</f>
        <v/>
      </c>
      <c r="AO18" s="13">
        <f>TEXT(MOD(TIMEVALUE(AO5)+28/1440,1),"HH:MM")</f>
        <v/>
      </c>
      <c r="AP18" s="13">
        <f>TEXT(MOD(TIMEVALUE(AP5)+28/1440,1),"HH:MM")</f>
        <v/>
      </c>
      <c r="AQ18" s="13">
        <f>TEXT(MOD(TIMEVALUE(AQ5)+28/1440,1),"HH:MM")</f>
        <v/>
      </c>
      <c r="AR18" s="13">
        <f>TEXT(MOD(TIMEVALUE(AR5)+28/1440,1),"HH:MM")</f>
        <v/>
      </c>
      <c r="AS18" s="13">
        <f>TEXT(MOD(TIMEVALUE(AS5)+28/1440,1),"HH:MM")</f>
        <v/>
      </c>
      <c r="AT18" s="13">
        <f>TEXT(MOD(TIMEVALUE(AT5)+28/1440,1),"HH:MM")</f>
        <v/>
      </c>
      <c r="AU18" s="13">
        <f>TEXT(MOD(TIMEVALUE(AU5)+28/1440,1),"HH:MM")</f>
        <v/>
      </c>
      <c r="AV18" s="13">
        <f>TEXT(MOD(TIMEVALUE(AV5)+28/1440,1),"HH:MM")</f>
        <v/>
      </c>
      <c r="AW18" s="13">
        <f>TEXT(MOD(TIMEVALUE(AW5)+28/1440,1),"HH:MM")</f>
        <v/>
      </c>
      <c r="AX18" s="13">
        <f>TEXT(MOD(TIMEVALUE(AX5)+28/1440,1),"HH:MM")</f>
        <v/>
      </c>
      <c r="AY18" s="13">
        <f>TEXT(MOD(TIMEVALUE(AY5)+28/1440,1),"HH:MM")</f>
        <v/>
      </c>
      <c r="AZ18" s="13">
        <f>TEXT(MOD(TIMEVALUE(AZ5)+28/1440,1),"HH:MM")</f>
        <v/>
      </c>
      <c r="BA18" s="13">
        <f>TEXT(MOD(TIMEVALUE(BA5)+28/1440,1),"HH:MM")</f>
        <v/>
      </c>
      <c r="BB18" s="13">
        <f>TEXT(MOD(TIMEVALUE(BB5)+28/1440,1),"HH:MM")</f>
        <v/>
      </c>
      <c r="BC18" s="13">
        <f>TEXT(MOD(TIMEVALUE(BC5)+28/1440,1),"HH:MM")</f>
        <v/>
      </c>
      <c r="BD18" s="13">
        <f>TEXT(MOD(TIMEVALUE(BD5)+28/1440,1),"HH:MM")</f>
        <v/>
      </c>
      <c r="BE18" s="13">
        <f>TEXT(MOD(TIMEVALUE(BE5)+28/1440,1),"HH:MM")</f>
        <v/>
      </c>
      <c r="BF18" s="13">
        <f>TEXT(MOD(TIMEVALUE(BF5)+28/1440,1),"HH:MM")</f>
        <v/>
      </c>
      <c r="BG18" s="13">
        <f>TEXT(MOD(TIMEVALUE(BG5)+28/1440,1),"HH:MM")</f>
        <v/>
      </c>
      <c r="BH18" s="13">
        <f>TEXT(MOD(TIMEVALUE(BH5)+28/1440,1),"HH:MM")</f>
        <v/>
      </c>
      <c r="BI18" s="13">
        <f>TEXT(MOD(TIMEVALUE(BI5)+28/1440,1),"HH:MM")</f>
        <v/>
      </c>
      <c r="BJ18" s="13">
        <f>TEXT(MOD(TIMEVALUE(BJ5)+28/1440,1),"HH:MM")</f>
        <v/>
      </c>
      <c r="BK18" s="13">
        <f>TEXT(MOD(TIMEVALUE(BK5)+28/1440,1),"HH:MM")</f>
        <v/>
      </c>
      <c r="BL18" s="13">
        <f>TEXT(MOD(TIMEVALUE(BL5)+28/1440,1),"HH:MM")</f>
        <v/>
      </c>
      <c r="BM18" s="13">
        <f>TEXT(MOD(TIMEVALUE(BM5)+28/1440,1),"HH:MM")</f>
        <v/>
      </c>
    </row>
    <row r="19" ht="16.5" customHeight="1" s="26">
      <c r="A19" s="23" t="inlineStr">
        <is>
          <t>Rubén Darío</t>
        </is>
      </c>
      <c r="B19" s="15">
        <f>TEXT(MOD(TIMEVALUE(B5)+29/1440,1),"HH:MM")</f>
        <v/>
      </c>
      <c r="C19" s="15">
        <f>TEXT(MOD(TIMEVALUE(C5)+29/1440,1),"HH:MM")</f>
        <v/>
      </c>
      <c r="D19" s="15">
        <f>TEXT(MOD(TIMEVALUE(D5)+29/1440,1),"HH:MM")</f>
        <v/>
      </c>
      <c r="E19" s="15">
        <f>TEXT(MOD(TIMEVALUE(E5)+29/1440,1),"HH:MM")</f>
        <v/>
      </c>
      <c r="F19" s="15">
        <f>TEXT(MOD(TIMEVALUE(F5)+29/1440,1),"HH:MM")</f>
        <v/>
      </c>
      <c r="G19" s="15">
        <f>TEXT(MOD(TIMEVALUE(G5)+29/1440,1),"HH:MM")</f>
        <v/>
      </c>
      <c r="H19" s="15">
        <f>TEXT(MOD(TIMEVALUE(H5)+29/1440,1),"HH:MM")</f>
        <v/>
      </c>
      <c r="I19" s="15">
        <f>TEXT(MOD(TIMEVALUE(I5)+29/1440,1),"HH:MM")</f>
        <v/>
      </c>
      <c r="J19" s="15">
        <f>TEXT(MOD(TIMEVALUE(J5)+29/1440,1),"HH:MM")</f>
        <v/>
      </c>
      <c r="K19" s="15">
        <f>TEXT(MOD(TIMEVALUE(K5)+29/1440,1),"HH:MM")</f>
        <v/>
      </c>
      <c r="L19" s="15">
        <f>TEXT(MOD(TIMEVALUE(L5)+29/1440,1),"HH:MM")</f>
        <v/>
      </c>
      <c r="M19" s="15">
        <f>TEXT(MOD(TIMEVALUE(M5)+29/1440,1),"HH:MM")</f>
        <v/>
      </c>
      <c r="N19" s="15">
        <f>TEXT(MOD(TIMEVALUE(N5)+29/1440,1),"HH:MM")</f>
        <v/>
      </c>
      <c r="O19" s="15">
        <f>TEXT(MOD(TIMEVALUE(O5)+29/1440,1),"HH:MM")</f>
        <v/>
      </c>
      <c r="P19" s="15">
        <f>TEXT(MOD(TIMEVALUE(P5)+29/1440,1),"HH:MM")</f>
        <v/>
      </c>
      <c r="Q19" s="15">
        <f>TEXT(MOD(TIMEVALUE(Q5)+29/1440,1),"HH:MM")</f>
        <v/>
      </c>
      <c r="R19" s="15">
        <f>TEXT(MOD(TIMEVALUE(R5)+29/1440,1),"HH:MM")</f>
        <v/>
      </c>
      <c r="S19" s="15">
        <f>TEXT(MOD(TIMEVALUE(S5)+29/1440,1),"HH:MM")</f>
        <v/>
      </c>
      <c r="T19" s="15">
        <f>TEXT(MOD(TIMEVALUE(T5)+29/1440,1),"HH:MM")</f>
        <v/>
      </c>
      <c r="U19" s="15">
        <f>TEXT(MOD(TIMEVALUE(U5)+29/1440,1),"HH:MM")</f>
        <v/>
      </c>
      <c r="V19" s="15">
        <f>TEXT(MOD(TIMEVALUE(V5)+29/1440,1),"HH:MM")</f>
        <v/>
      </c>
      <c r="W19" s="15">
        <f>TEXT(MOD(TIMEVALUE(W5)+29/1440,1),"HH:MM")</f>
        <v/>
      </c>
      <c r="X19" s="15">
        <f>TEXT(MOD(TIMEVALUE(X5)+29/1440,1),"HH:MM")</f>
        <v/>
      </c>
      <c r="Y19" s="15">
        <f>TEXT(MOD(TIMEVALUE(Y5)+29/1440,1),"HH:MM")</f>
        <v/>
      </c>
      <c r="Z19" s="15">
        <f>TEXT(MOD(TIMEVALUE(Z5)+29/1440,1),"HH:MM")</f>
        <v/>
      </c>
      <c r="AA19" s="15">
        <f>TEXT(MOD(TIMEVALUE(AA5)+29/1440,1),"HH:MM")</f>
        <v/>
      </c>
      <c r="AB19" s="15">
        <f>TEXT(MOD(TIMEVALUE(AB5)+29/1440,1),"HH:MM")</f>
        <v/>
      </c>
      <c r="AC19" s="15">
        <f>TEXT(MOD(TIMEVALUE(AC5)+29/1440,1),"HH:MM")</f>
        <v/>
      </c>
      <c r="AD19" s="15">
        <f>TEXT(MOD(TIMEVALUE(AD5)+29/1440,1),"HH:MM")</f>
        <v/>
      </c>
      <c r="AE19" s="15">
        <f>TEXT(MOD(TIMEVALUE(AE5)+29/1440,1),"HH:MM")</f>
        <v/>
      </c>
      <c r="AF19" s="15">
        <f>TEXT(MOD(TIMEVALUE(AF5)+29/1440,1),"HH:MM")</f>
        <v/>
      </c>
      <c r="AG19" s="15">
        <f>TEXT(MOD(TIMEVALUE(AG5)+29/1440,1),"HH:MM")</f>
        <v/>
      </c>
      <c r="AH19" s="15">
        <f>TEXT(MOD(TIMEVALUE(AH5)+29/1440,1),"HH:MM")</f>
        <v/>
      </c>
      <c r="AI19" s="15">
        <f>TEXT(MOD(TIMEVALUE(AI5)+29/1440,1),"HH:MM")</f>
        <v/>
      </c>
      <c r="AJ19" s="15">
        <f>TEXT(MOD(TIMEVALUE(AJ5)+29/1440,1),"HH:MM")</f>
        <v/>
      </c>
      <c r="AK19" s="15">
        <f>TEXT(MOD(TIMEVALUE(AK5)+29/1440,1),"HH:MM")</f>
        <v/>
      </c>
      <c r="AL19" s="15">
        <f>TEXT(MOD(TIMEVALUE(AL5)+29/1440,1),"HH:MM")</f>
        <v/>
      </c>
      <c r="AM19" s="15">
        <f>TEXT(MOD(TIMEVALUE(AM5)+29/1440,1),"HH:MM")</f>
        <v/>
      </c>
      <c r="AN19" s="15">
        <f>TEXT(MOD(TIMEVALUE(AN5)+29/1440,1),"HH:MM")</f>
        <v/>
      </c>
      <c r="AO19" s="15">
        <f>TEXT(MOD(TIMEVALUE(AO5)+29/1440,1),"HH:MM")</f>
        <v/>
      </c>
      <c r="AP19" s="15">
        <f>TEXT(MOD(TIMEVALUE(AP5)+29/1440,1),"HH:MM")</f>
        <v/>
      </c>
      <c r="AQ19" s="15">
        <f>TEXT(MOD(TIMEVALUE(AQ5)+29/1440,1),"HH:MM")</f>
        <v/>
      </c>
      <c r="AR19" s="15">
        <f>TEXT(MOD(TIMEVALUE(AR5)+29/1440,1),"HH:MM")</f>
        <v/>
      </c>
      <c r="AS19" s="15">
        <f>TEXT(MOD(TIMEVALUE(AS5)+29/1440,1),"HH:MM")</f>
        <v/>
      </c>
      <c r="AT19" s="15">
        <f>TEXT(MOD(TIMEVALUE(AT5)+29/1440,1),"HH:MM")</f>
        <v/>
      </c>
      <c r="AU19" s="15">
        <f>TEXT(MOD(TIMEVALUE(AU5)+29/1440,1),"HH:MM")</f>
        <v/>
      </c>
      <c r="AV19" s="15">
        <f>TEXT(MOD(TIMEVALUE(AV5)+29/1440,1),"HH:MM")</f>
        <v/>
      </c>
      <c r="AW19" s="15">
        <f>TEXT(MOD(TIMEVALUE(AW5)+29/1440,1),"HH:MM")</f>
        <v/>
      </c>
      <c r="AX19" s="15">
        <f>TEXT(MOD(TIMEVALUE(AX5)+29/1440,1),"HH:MM")</f>
        <v/>
      </c>
      <c r="AY19" s="15">
        <f>TEXT(MOD(TIMEVALUE(AY5)+29/1440,1),"HH:MM")</f>
        <v/>
      </c>
      <c r="AZ19" s="15">
        <f>TEXT(MOD(TIMEVALUE(AZ5)+29/1440,1),"HH:MM")</f>
        <v/>
      </c>
      <c r="BA19" s="15">
        <f>TEXT(MOD(TIMEVALUE(BA5)+29/1440,1),"HH:MM")</f>
        <v/>
      </c>
      <c r="BB19" s="15">
        <f>TEXT(MOD(TIMEVALUE(BB5)+29/1440,1),"HH:MM")</f>
        <v/>
      </c>
      <c r="BC19" s="15">
        <f>TEXT(MOD(TIMEVALUE(BC5)+29/1440,1),"HH:MM")</f>
        <v/>
      </c>
      <c r="BD19" s="15">
        <f>TEXT(MOD(TIMEVALUE(BD5)+29/1440,1),"HH:MM")</f>
        <v/>
      </c>
      <c r="BE19" s="15">
        <f>TEXT(MOD(TIMEVALUE(BE5)+29/1440,1),"HH:MM")</f>
        <v/>
      </c>
      <c r="BF19" s="15">
        <f>TEXT(MOD(TIMEVALUE(BF5)+29/1440,1),"HH:MM")</f>
        <v/>
      </c>
      <c r="BG19" s="15">
        <f>TEXT(MOD(TIMEVALUE(BG5)+29/1440,1),"HH:MM")</f>
        <v/>
      </c>
      <c r="BH19" s="15">
        <f>TEXT(MOD(TIMEVALUE(BH5)+29/1440,1),"HH:MM")</f>
        <v/>
      </c>
      <c r="BI19" s="15">
        <f>TEXT(MOD(TIMEVALUE(BI5)+29/1440,1),"HH:MM")</f>
        <v/>
      </c>
      <c r="BJ19" s="15">
        <f>TEXT(MOD(TIMEVALUE(BJ5)+29/1440,1),"HH:MM")</f>
        <v/>
      </c>
      <c r="BK19" s="15">
        <f>TEXT(MOD(TIMEVALUE(BK5)+29/1440,1),"HH:MM")</f>
        <v/>
      </c>
      <c r="BL19" s="15">
        <f>TEXT(MOD(TIMEVALUE(BL5)+29/1440,1),"HH:MM")</f>
        <v/>
      </c>
      <c r="BM19" s="15">
        <f>TEXT(MOD(TIMEVALUE(BM5)+29/1440,1),"HH:MM")</f>
        <v/>
      </c>
    </row>
    <row r="20" ht="16.5" customHeight="1" s="26">
      <c r="A20" s="22" t="inlineStr">
        <is>
          <t>Ejército de los Andes</t>
        </is>
      </c>
      <c r="B20" s="13">
        <f>TEXT(MOD(TIMEVALUE(B5)+33/1440,1),"HH:MM")</f>
        <v/>
      </c>
      <c r="C20" s="13">
        <f>TEXT(MOD(TIMEVALUE(C5)+33/1440,1),"HH:MM")</f>
        <v/>
      </c>
      <c r="D20" s="13">
        <f>TEXT(MOD(TIMEVALUE(D5)+33/1440,1),"HH:MM")</f>
        <v/>
      </c>
      <c r="E20" s="13">
        <f>TEXT(MOD(TIMEVALUE(E5)+33/1440,1),"HH:MM")</f>
        <v/>
      </c>
      <c r="F20" s="13">
        <f>TEXT(MOD(TIMEVALUE(F5)+33/1440,1),"HH:MM")</f>
        <v/>
      </c>
      <c r="G20" s="13">
        <f>TEXT(MOD(TIMEVALUE(G5)+33/1440,1),"HH:MM")</f>
        <v/>
      </c>
      <c r="H20" s="13">
        <f>TEXT(MOD(TIMEVALUE(H5)+33/1440,1),"HH:MM")</f>
        <v/>
      </c>
      <c r="I20" s="13">
        <f>TEXT(MOD(TIMEVALUE(I5)+33/1440,1),"HH:MM")</f>
        <v/>
      </c>
      <c r="J20" s="13">
        <f>TEXT(MOD(TIMEVALUE(J5)+33/1440,1),"HH:MM")</f>
        <v/>
      </c>
      <c r="K20" s="13">
        <f>TEXT(MOD(TIMEVALUE(K5)+33/1440,1),"HH:MM")</f>
        <v/>
      </c>
      <c r="L20" s="13">
        <f>TEXT(MOD(TIMEVALUE(L5)+33/1440,1),"HH:MM")</f>
        <v/>
      </c>
      <c r="M20" s="13">
        <f>TEXT(MOD(TIMEVALUE(M5)+33/1440,1),"HH:MM")</f>
        <v/>
      </c>
      <c r="N20" s="13">
        <f>TEXT(MOD(TIMEVALUE(N5)+33/1440,1),"HH:MM")</f>
        <v/>
      </c>
      <c r="O20" s="13">
        <f>TEXT(MOD(TIMEVALUE(O5)+33/1440,1),"HH:MM")</f>
        <v/>
      </c>
      <c r="P20" s="13">
        <f>TEXT(MOD(TIMEVALUE(P5)+33/1440,1),"HH:MM")</f>
        <v/>
      </c>
      <c r="Q20" s="13">
        <f>TEXT(MOD(TIMEVALUE(Q5)+33/1440,1),"HH:MM")</f>
        <v/>
      </c>
      <c r="R20" s="13">
        <f>TEXT(MOD(TIMEVALUE(R5)+33/1440,1),"HH:MM")</f>
        <v/>
      </c>
      <c r="S20" s="13">
        <f>TEXT(MOD(TIMEVALUE(S5)+33/1440,1),"HH:MM")</f>
        <v/>
      </c>
      <c r="T20" s="13">
        <f>TEXT(MOD(TIMEVALUE(T5)+33/1440,1),"HH:MM")</f>
        <v/>
      </c>
      <c r="U20" s="13">
        <f>TEXT(MOD(TIMEVALUE(U5)+33/1440,1),"HH:MM")</f>
        <v/>
      </c>
      <c r="V20" s="13">
        <f>TEXT(MOD(TIMEVALUE(V5)+33/1440,1),"HH:MM")</f>
        <v/>
      </c>
      <c r="W20" s="13">
        <f>TEXT(MOD(TIMEVALUE(W5)+33/1440,1),"HH:MM")</f>
        <v/>
      </c>
      <c r="X20" s="13">
        <f>TEXT(MOD(TIMEVALUE(X5)+33/1440,1),"HH:MM")</f>
        <v/>
      </c>
      <c r="Y20" s="13">
        <f>TEXT(MOD(TIMEVALUE(Y5)+33/1440,1),"HH:MM")</f>
        <v/>
      </c>
      <c r="Z20" s="13">
        <f>TEXT(MOD(TIMEVALUE(Z5)+33/1440,1),"HH:MM")</f>
        <v/>
      </c>
      <c r="AA20" s="13">
        <f>TEXT(MOD(TIMEVALUE(AA5)+33/1440,1),"HH:MM")</f>
        <v/>
      </c>
      <c r="AB20" s="13">
        <f>TEXT(MOD(TIMEVALUE(AB5)+33/1440,1),"HH:MM")</f>
        <v/>
      </c>
      <c r="AC20" s="13">
        <f>TEXT(MOD(TIMEVALUE(AC5)+33/1440,1),"HH:MM")</f>
        <v/>
      </c>
      <c r="AD20" s="13">
        <f>TEXT(MOD(TIMEVALUE(AD5)+33/1440,1),"HH:MM")</f>
        <v/>
      </c>
      <c r="AE20" s="13">
        <f>TEXT(MOD(TIMEVALUE(AE5)+33/1440,1),"HH:MM")</f>
        <v/>
      </c>
      <c r="AF20" s="13">
        <f>TEXT(MOD(TIMEVALUE(AF5)+33/1440,1),"HH:MM")</f>
        <v/>
      </c>
      <c r="AG20" s="13">
        <f>TEXT(MOD(TIMEVALUE(AG5)+33/1440,1),"HH:MM")</f>
        <v/>
      </c>
      <c r="AH20" s="13">
        <f>TEXT(MOD(TIMEVALUE(AH5)+33/1440,1),"HH:MM")</f>
        <v/>
      </c>
      <c r="AI20" s="13">
        <f>TEXT(MOD(TIMEVALUE(AI5)+33/1440,1),"HH:MM")</f>
        <v/>
      </c>
      <c r="AJ20" s="13">
        <f>TEXT(MOD(TIMEVALUE(AJ5)+33/1440,1),"HH:MM")</f>
        <v/>
      </c>
      <c r="AK20" s="13">
        <f>TEXT(MOD(TIMEVALUE(AK5)+33/1440,1),"HH:MM")</f>
        <v/>
      </c>
      <c r="AL20" s="13">
        <f>TEXT(MOD(TIMEVALUE(AL5)+33/1440,1),"HH:MM")</f>
        <v/>
      </c>
      <c r="AM20" s="13">
        <f>TEXT(MOD(TIMEVALUE(AM5)+33/1440,1),"HH:MM")</f>
        <v/>
      </c>
      <c r="AN20" s="13">
        <f>TEXT(MOD(TIMEVALUE(AN5)+33/1440,1),"HH:MM")</f>
        <v/>
      </c>
      <c r="AO20" s="13">
        <f>TEXT(MOD(TIMEVALUE(AO5)+33/1440,1),"HH:MM")</f>
        <v/>
      </c>
      <c r="AP20" s="13">
        <f>TEXT(MOD(TIMEVALUE(AP5)+33/1440,1),"HH:MM")</f>
        <v/>
      </c>
      <c r="AQ20" s="13">
        <f>TEXT(MOD(TIMEVALUE(AQ5)+33/1440,1),"HH:MM")</f>
        <v/>
      </c>
      <c r="AR20" s="13">
        <f>TEXT(MOD(TIMEVALUE(AR5)+33/1440,1),"HH:MM")</f>
        <v/>
      </c>
      <c r="AS20" s="13">
        <f>TEXT(MOD(TIMEVALUE(AS5)+33/1440,1),"HH:MM")</f>
        <v/>
      </c>
      <c r="AT20" s="13">
        <f>TEXT(MOD(TIMEVALUE(AT5)+33/1440,1),"HH:MM")</f>
        <v/>
      </c>
      <c r="AU20" s="13">
        <f>TEXT(MOD(TIMEVALUE(AU5)+33/1440,1),"HH:MM")</f>
        <v/>
      </c>
      <c r="AV20" s="13">
        <f>TEXT(MOD(TIMEVALUE(AV5)+33/1440,1),"HH:MM")</f>
        <v/>
      </c>
      <c r="AW20" s="13">
        <f>TEXT(MOD(TIMEVALUE(AW5)+33/1440,1),"HH:MM")</f>
        <v/>
      </c>
      <c r="AX20" s="13">
        <f>TEXT(MOD(TIMEVALUE(AX5)+33/1440,1),"HH:MM")</f>
        <v/>
      </c>
      <c r="AY20" s="13">
        <f>TEXT(MOD(TIMEVALUE(AY5)+33/1440,1),"HH:MM")</f>
        <v/>
      </c>
      <c r="AZ20" s="13">
        <f>TEXT(MOD(TIMEVALUE(AZ5)+33/1440,1),"HH:MM")</f>
        <v/>
      </c>
      <c r="BA20" s="13">
        <f>TEXT(MOD(TIMEVALUE(BA5)+33/1440,1),"HH:MM")</f>
        <v/>
      </c>
      <c r="BB20" s="13">
        <f>TEXT(MOD(TIMEVALUE(BB5)+33/1440,1),"HH:MM")</f>
        <v/>
      </c>
      <c r="BC20" s="13">
        <f>TEXT(MOD(TIMEVALUE(BC5)+33/1440,1),"HH:MM")</f>
        <v/>
      </c>
      <c r="BD20" s="13">
        <f>TEXT(MOD(TIMEVALUE(BD5)+33/1440,1),"HH:MM")</f>
        <v/>
      </c>
      <c r="BE20" s="13">
        <f>TEXT(MOD(TIMEVALUE(BE5)+33/1440,1),"HH:MM")</f>
        <v/>
      </c>
      <c r="BF20" s="13">
        <f>TEXT(MOD(TIMEVALUE(BF5)+33/1440,1),"HH:MM")</f>
        <v/>
      </c>
      <c r="BG20" s="13">
        <f>TEXT(MOD(TIMEVALUE(BG5)+33/1440,1),"HH:MM")</f>
        <v/>
      </c>
      <c r="BH20" s="13">
        <f>TEXT(MOD(TIMEVALUE(BH5)+33/1440,1),"HH:MM")</f>
        <v/>
      </c>
      <c r="BI20" s="13">
        <f>TEXT(MOD(TIMEVALUE(BI5)+33/1440,1),"HH:MM")</f>
        <v/>
      </c>
      <c r="BJ20" s="13">
        <f>TEXT(MOD(TIMEVALUE(BJ5)+33/1440,1),"HH:MM")</f>
        <v/>
      </c>
      <c r="BK20" s="13">
        <f>TEXT(MOD(TIMEVALUE(BK5)+33/1440,1),"HH:MM")</f>
        <v/>
      </c>
      <c r="BL20" s="13">
        <f>TEXT(MOD(TIMEVALUE(BL5)+33/1440,1),"HH:MM")</f>
        <v/>
      </c>
      <c r="BM20" s="13">
        <f>TEXT(MOD(TIMEVALUE(BM5)+33/1440,1),"HH:MM")</f>
        <v/>
      </c>
    </row>
    <row r="21" ht="16.5" customHeight="1" s="26">
      <c r="A21" s="23" t="inlineStr">
        <is>
          <t>Juan E. de la Salle</t>
        </is>
      </c>
      <c r="B21" s="15">
        <f>TEXT(MOD(TIMEVALUE(B5)+34/1440,1),"HH:MM")</f>
        <v/>
      </c>
      <c r="C21" s="15">
        <f>TEXT(MOD(TIMEVALUE(C5)+34/1440,1),"HH:MM")</f>
        <v/>
      </c>
      <c r="D21" s="15">
        <f>TEXT(MOD(TIMEVALUE(D5)+34/1440,1),"HH:MM")</f>
        <v/>
      </c>
      <c r="E21" s="15">
        <f>TEXT(MOD(TIMEVALUE(E5)+34/1440,1),"HH:MM")</f>
        <v/>
      </c>
      <c r="F21" s="15">
        <f>TEXT(MOD(TIMEVALUE(F5)+34/1440,1),"HH:MM")</f>
        <v/>
      </c>
      <c r="G21" s="15">
        <f>TEXT(MOD(TIMEVALUE(G5)+34/1440,1),"HH:MM")</f>
        <v/>
      </c>
      <c r="H21" s="15">
        <f>TEXT(MOD(TIMEVALUE(H5)+34/1440,1),"HH:MM")</f>
        <v/>
      </c>
      <c r="I21" s="15">
        <f>TEXT(MOD(TIMEVALUE(I5)+34/1440,1),"HH:MM")</f>
        <v/>
      </c>
      <c r="J21" s="15">
        <f>TEXT(MOD(TIMEVALUE(J5)+34/1440,1),"HH:MM")</f>
        <v/>
      </c>
      <c r="K21" s="15">
        <f>TEXT(MOD(TIMEVALUE(K5)+34/1440,1),"HH:MM")</f>
        <v/>
      </c>
      <c r="L21" s="15">
        <f>TEXT(MOD(TIMEVALUE(L5)+34/1440,1),"HH:MM")</f>
        <v/>
      </c>
      <c r="M21" s="15">
        <f>TEXT(MOD(TIMEVALUE(M5)+34/1440,1),"HH:MM")</f>
        <v/>
      </c>
      <c r="N21" s="15">
        <f>TEXT(MOD(TIMEVALUE(N5)+34/1440,1),"HH:MM")</f>
        <v/>
      </c>
      <c r="O21" s="15">
        <f>TEXT(MOD(TIMEVALUE(O5)+34/1440,1),"HH:MM")</f>
        <v/>
      </c>
      <c r="P21" s="15">
        <f>TEXT(MOD(TIMEVALUE(P5)+34/1440,1),"HH:MM")</f>
        <v/>
      </c>
      <c r="Q21" s="15">
        <f>TEXT(MOD(TIMEVALUE(Q5)+34/1440,1),"HH:MM")</f>
        <v/>
      </c>
      <c r="R21" s="15">
        <f>TEXT(MOD(TIMEVALUE(R5)+34/1440,1),"HH:MM")</f>
        <v/>
      </c>
      <c r="S21" s="15">
        <f>TEXT(MOD(TIMEVALUE(S5)+34/1440,1),"HH:MM")</f>
        <v/>
      </c>
      <c r="T21" s="15">
        <f>TEXT(MOD(TIMEVALUE(T5)+34/1440,1),"HH:MM")</f>
        <v/>
      </c>
      <c r="U21" s="15">
        <f>TEXT(MOD(TIMEVALUE(U5)+34/1440,1),"HH:MM")</f>
        <v/>
      </c>
      <c r="V21" s="15">
        <f>TEXT(MOD(TIMEVALUE(V5)+34/1440,1),"HH:MM")</f>
        <v/>
      </c>
      <c r="W21" s="15">
        <f>TEXT(MOD(TIMEVALUE(W5)+34/1440,1),"HH:MM")</f>
        <v/>
      </c>
      <c r="X21" s="15">
        <f>TEXT(MOD(TIMEVALUE(X5)+34/1440,1),"HH:MM")</f>
        <v/>
      </c>
      <c r="Y21" s="15">
        <f>TEXT(MOD(TIMEVALUE(Y5)+34/1440,1),"HH:MM")</f>
        <v/>
      </c>
      <c r="Z21" s="15">
        <f>TEXT(MOD(TIMEVALUE(Z5)+34/1440,1),"HH:MM")</f>
        <v/>
      </c>
      <c r="AA21" s="15">
        <f>TEXT(MOD(TIMEVALUE(AA5)+34/1440,1),"HH:MM")</f>
        <v/>
      </c>
      <c r="AB21" s="15">
        <f>TEXT(MOD(TIMEVALUE(AB5)+34/1440,1),"HH:MM")</f>
        <v/>
      </c>
      <c r="AC21" s="15">
        <f>TEXT(MOD(TIMEVALUE(AC5)+34/1440,1),"HH:MM")</f>
        <v/>
      </c>
      <c r="AD21" s="15">
        <f>TEXT(MOD(TIMEVALUE(AD5)+34/1440,1),"HH:MM")</f>
        <v/>
      </c>
      <c r="AE21" s="15">
        <f>TEXT(MOD(TIMEVALUE(AE5)+34/1440,1),"HH:MM")</f>
        <v/>
      </c>
      <c r="AF21" s="15">
        <f>TEXT(MOD(TIMEVALUE(AF5)+34/1440,1),"HH:MM")</f>
        <v/>
      </c>
      <c r="AG21" s="15">
        <f>TEXT(MOD(TIMEVALUE(AG5)+34/1440,1),"HH:MM")</f>
        <v/>
      </c>
      <c r="AH21" s="15">
        <f>TEXT(MOD(TIMEVALUE(AH5)+34/1440,1),"HH:MM")</f>
        <v/>
      </c>
      <c r="AI21" s="15">
        <f>TEXT(MOD(TIMEVALUE(AI5)+34/1440,1),"HH:MM")</f>
        <v/>
      </c>
      <c r="AJ21" s="15">
        <f>TEXT(MOD(TIMEVALUE(AJ5)+34/1440,1),"HH:MM")</f>
        <v/>
      </c>
      <c r="AK21" s="15">
        <f>TEXT(MOD(TIMEVALUE(AK5)+34/1440,1),"HH:MM")</f>
        <v/>
      </c>
      <c r="AL21" s="15">
        <f>TEXT(MOD(TIMEVALUE(AL5)+34/1440,1),"HH:MM")</f>
        <v/>
      </c>
      <c r="AM21" s="15">
        <f>TEXT(MOD(TIMEVALUE(AM5)+34/1440,1),"HH:MM")</f>
        <v/>
      </c>
      <c r="AN21" s="15">
        <f>TEXT(MOD(TIMEVALUE(AN5)+34/1440,1),"HH:MM")</f>
        <v/>
      </c>
      <c r="AO21" s="15">
        <f>TEXT(MOD(TIMEVALUE(AO5)+34/1440,1),"HH:MM")</f>
        <v/>
      </c>
      <c r="AP21" s="15">
        <f>TEXT(MOD(TIMEVALUE(AP5)+34/1440,1),"HH:MM")</f>
        <v/>
      </c>
      <c r="AQ21" s="15">
        <f>TEXT(MOD(TIMEVALUE(AQ5)+34/1440,1),"HH:MM")</f>
        <v/>
      </c>
      <c r="AR21" s="15">
        <f>TEXT(MOD(TIMEVALUE(AR5)+34/1440,1),"HH:MM")</f>
        <v/>
      </c>
      <c r="AS21" s="15">
        <f>TEXT(MOD(TIMEVALUE(AS5)+34/1440,1),"HH:MM")</f>
        <v/>
      </c>
      <c r="AT21" s="15">
        <f>TEXT(MOD(TIMEVALUE(AT5)+34/1440,1),"HH:MM")</f>
        <v/>
      </c>
      <c r="AU21" s="15">
        <f>TEXT(MOD(TIMEVALUE(AU5)+34/1440,1),"HH:MM")</f>
        <v/>
      </c>
      <c r="AV21" s="15">
        <f>TEXT(MOD(TIMEVALUE(AV5)+34/1440,1),"HH:MM")</f>
        <v/>
      </c>
      <c r="AW21" s="15">
        <f>TEXT(MOD(TIMEVALUE(AW5)+34/1440,1),"HH:MM")</f>
        <v/>
      </c>
      <c r="AX21" s="15">
        <f>TEXT(MOD(TIMEVALUE(AX5)+34/1440,1),"HH:MM")</f>
        <v/>
      </c>
      <c r="AY21" s="15">
        <f>TEXT(MOD(TIMEVALUE(AY5)+34/1440,1),"HH:MM")</f>
        <v/>
      </c>
      <c r="AZ21" s="15">
        <f>TEXT(MOD(TIMEVALUE(AZ5)+34/1440,1),"HH:MM")</f>
        <v/>
      </c>
      <c r="BA21" s="15">
        <f>TEXT(MOD(TIMEVALUE(BA5)+34/1440,1),"HH:MM")</f>
        <v/>
      </c>
      <c r="BB21" s="15">
        <f>TEXT(MOD(TIMEVALUE(BB5)+34/1440,1),"HH:MM")</f>
        <v/>
      </c>
      <c r="BC21" s="15">
        <f>TEXT(MOD(TIMEVALUE(BC5)+34/1440,1),"HH:MM")</f>
        <v/>
      </c>
      <c r="BD21" s="15">
        <f>TEXT(MOD(TIMEVALUE(BD5)+34/1440,1),"HH:MM")</f>
        <v/>
      </c>
      <c r="BE21" s="15">
        <f>TEXT(MOD(TIMEVALUE(BE5)+34/1440,1),"HH:MM")</f>
        <v/>
      </c>
      <c r="BF21" s="15">
        <f>TEXT(MOD(TIMEVALUE(BF5)+34/1440,1),"HH:MM")</f>
        <v/>
      </c>
      <c r="BG21" s="15">
        <f>TEXT(MOD(TIMEVALUE(BG5)+34/1440,1),"HH:MM")</f>
        <v/>
      </c>
      <c r="BH21" s="15">
        <f>TEXT(MOD(TIMEVALUE(BH5)+34/1440,1),"HH:MM")</f>
        <v/>
      </c>
      <c r="BI21" s="15">
        <f>TEXT(MOD(TIMEVALUE(BI5)+34/1440,1),"HH:MM")</f>
        <v/>
      </c>
      <c r="BJ21" s="15">
        <f>TEXT(MOD(TIMEVALUE(BJ5)+34/1440,1),"HH:MM")</f>
        <v/>
      </c>
      <c r="BK21" s="15">
        <f>TEXT(MOD(TIMEVALUE(BK5)+34/1440,1),"HH:MM")</f>
        <v/>
      </c>
      <c r="BL21" s="15">
        <f>TEXT(MOD(TIMEVALUE(BL5)+34/1440,1),"HH:MM")</f>
        <v/>
      </c>
      <c r="BM21" s="15">
        <f>TEXT(MOD(TIMEVALUE(BM5)+34/1440,1),"HH:MM")</f>
        <v/>
      </c>
    </row>
    <row r="22" ht="16.5" customHeight="1" s="26">
      <c r="A22" s="22" t="inlineStr">
        <is>
          <t>Sgto. Barruffaldi</t>
        </is>
      </c>
      <c r="B22" s="13">
        <f>TEXT(MOD(TIMEVALUE(B5)+37/1440,1),"HH:MM")</f>
        <v/>
      </c>
      <c r="C22" s="13">
        <f>TEXT(MOD(TIMEVALUE(C5)+37/1440,1),"HH:MM")</f>
        <v/>
      </c>
      <c r="D22" s="13">
        <f>TEXT(MOD(TIMEVALUE(D5)+37/1440,1),"HH:MM")</f>
        <v/>
      </c>
      <c r="E22" s="13">
        <f>TEXT(MOD(TIMEVALUE(E5)+37/1440,1),"HH:MM")</f>
        <v/>
      </c>
      <c r="F22" s="13">
        <f>TEXT(MOD(TIMEVALUE(F5)+37/1440,1),"HH:MM")</f>
        <v/>
      </c>
      <c r="G22" s="13">
        <f>TEXT(MOD(TIMEVALUE(G5)+37/1440,1),"HH:MM")</f>
        <v/>
      </c>
      <c r="H22" s="13">
        <f>TEXT(MOD(TIMEVALUE(H5)+37/1440,1),"HH:MM")</f>
        <v/>
      </c>
      <c r="I22" s="13">
        <f>TEXT(MOD(TIMEVALUE(I5)+37/1440,1),"HH:MM")</f>
        <v/>
      </c>
      <c r="J22" s="13">
        <f>TEXT(MOD(TIMEVALUE(J5)+37/1440,1),"HH:MM")</f>
        <v/>
      </c>
      <c r="K22" s="13">
        <f>TEXT(MOD(TIMEVALUE(K5)+37/1440,1),"HH:MM")</f>
        <v/>
      </c>
      <c r="L22" s="13">
        <f>TEXT(MOD(TIMEVALUE(L5)+37/1440,1),"HH:MM")</f>
        <v/>
      </c>
      <c r="M22" s="13">
        <f>TEXT(MOD(TIMEVALUE(M5)+37/1440,1),"HH:MM")</f>
        <v/>
      </c>
      <c r="N22" s="13">
        <f>TEXT(MOD(TIMEVALUE(N5)+37/1440,1),"HH:MM")</f>
        <v/>
      </c>
      <c r="O22" s="13">
        <f>TEXT(MOD(TIMEVALUE(O5)+37/1440,1),"HH:MM")</f>
        <v/>
      </c>
      <c r="P22" s="13">
        <f>TEXT(MOD(TIMEVALUE(P5)+37/1440,1),"HH:MM")</f>
        <v/>
      </c>
      <c r="Q22" s="13">
        <f>TEXT(MOD(TIMEVALUE(Q5)+37/1440,1),"HH:MM")</f>
        <v/>
      </c>
      <c r="R22" s="13">
        <f>TEXT(MOD(TIMEVALUE(R5)+37/1440,1),"HH:MM")</f>
        <v/>
      </c>
      <c r="S22" s="13">
        <f>TEXT(MOD(TIMEVALUE(S5)+37/1440,1),"HH:MM")</f>
        <v/>
      </c>
      <c r="T22" s="13">
        <f>TEXT(MOD(TIMEVALUE(T5)+37/1440,1),"HH:MM")</f>
        <v/>
      </c>
      <c r="U22" s="13">
        <f>TEXT(MOD(TIMEVALUE(U5)+37/1440,1),"HH:MM")</f>
        <v/>
      </c>
      <c r="V22" s="13">
        <f>TEXT(MOD(TIMEVALUE(V5)+37/1440,1),"HH:MM")</f>
        <v/>
      </c>
      <c r="W22" s="13">
        <f>TEXT(MOD(TIMEVALUE(W5)+37/1440,1),"HH:MM")</f>
        <v/>
      </c>
      <c r="X22" s="13">
        <f>TEXT(MOD(TIMEVALUE(X5)+37/1440,1),"HH:MM")</f>
        <v/>
      </c>
      <c r="Y22" s="13">
        <f>TEXT(MOD(TIMEVALUE(Y5)+37/1440,1),"HH:MM")</f>
        <v/>
      </c>
      <c r="Z22" s="13">
        <f>TEXT(MOD(TIMEVALUE(Z5)+37/1440,1),"HH:MM")</f>
        <v/>
      </c>
      <c r="AA22" s="13">
        <f>TEXT(MOD(TIMEVALUE(AA5)+37/1440,1),"HH:MM")</f>
        <v/>
      </c>
      <c r="AB22" s="13">
        <f>TEXT(MOD(TIMEVALUE(AB5)+37/1440,1),"HH:MM")</f>
        <v/>
      </c>
      <c r="AC22" s="13">
        <f>TEXT(MOD(TIMEVALUE(AC5)+37/1440,1),"HH:MM")</f>
        <v/>
      </c>
      <c r="AD22" s="13">
        <f>TEXT(MOD(TIMEVALUE(AD5)+37/1440,1),"HH:MM")</f>
        <v/>
      </c>
      <c r="AE22" s="13">
        <f>TEXT(MOD(TIMEVALUE(AE5)+37/1440,1),"HH:MM")</f>
        <v/>
      </c>
      <c r="AF22" s="13">
        <f>TEXT(MOD(TIMEVALUE(AF5)+37/1440,1),"HH:MM")</f>
        <v/>
      </c>
      <c r="AG22" s="13">
        <f>TEXT(MOD(TIMEVALUE(AG5)+37/1440,1),"HH:MM")</f>
        <v/>
      </c>
      <c r="AH22" s="13">
        <f>TEXT(MOD(TIMEVALUE(AH5)+37/1440,1),"HH:MM")</f>
        <v/>
      </c>
      <c r="AI22" s="13">
        <f>TEXT(MOD(TIMEVALUE(AI5)+37/1440,1),"HH:MM")</f>
        <v/>
      </c>
      <c r="AJ22" s="13">
        <f>TEXT(MOD(TIMEVALUE(AJ5)+37/1440,1),"HH:MM")</f>
        <v/>
      </c>
      <c r="AK22" s="13">
        <f>TEXT(MOD(TIMEVALUE(AK5)+37/1440,1),"HH:MM")</f>
        <v/>
      </c>
      <c r="AL22" s="13">
        <f>TEXT(MOD(TIMEVALUE(AL5)+37/1440,1),"HH:MM")</f>
        <v/>
      </c>
      <c r="AM22" s="13">
        <f>TEXT(MOD(TIMEVALUE(AM5)+37/1440,1),"HH:MM")</f>
        <v/>
      </c>
      <c r="AN22" s="13">
        <f>TEXT(MOD(TIMEVALUE(AN5)+37/1440,1),"HH:MM")</f>
        <v/>
      </c>
      <c r="AO22" s="13">
        <f>TEXT(MOD(TIMEVALUE(AO5)+37/1440,1),"HH:MM")</f>
        <v/>
      </c>
      <c r="AP22" s="13">
        <f>TEXT(MOD(TIMEVALUE(AP5)+37/1440,1),"HH:MM")</f>
        <v/>
      </c>
      <c r="AQ22" s="13">
        <f>TEXT(MOD(TIMEVALUE(AQ5)+37/1440,1),"HH:MM")</f>
        <v/>
      </c>
      <c r="AR22" s="13">
        <f>TEXT(MOD(TIMEVALUE(AR5)+37/1440,1),"HH:MM")</f>
        <v/>
      </c>
      <c r="AS22" s="13">
        <f>TEXT(MOD(TIMEVALUE(AS5)+37/1440,1),"HH:MM")</f>
        <v/>
      </c>
      <c r="AT22" s="13">
        <f>TEXT(MOD(TIMEVALUE(AT5)+37/1440,1),"HH:MM")</f>
        <v/>
      </c>
      <c r="AU22" s="13">
        <f>TEXT(MOD(TIMEVALUE(AU5)+37/1440,1),"HH:MM")</f>
        <v/>
      </c>
      <c r="AV22" s="13">
        <f>TEXT(MOD(TIMEVALUE(AV5)+37/1440,1),"HH:MM")</f>
        <v/>
      </c>
      <c r="AW22" s="13">
        <f>TEXT(MOD(TIMEVALUE(AW5)+37/1440,1),"HH:MM")</f>
        <v/>
      </c>
      <c r="AX22" s="13">
        <f>TEXT(MOD(TIMEVALUE(AX5)+37/1440,1),"HH:MM")</f>
        <v/>
      </c>
      <c r="AY22" s="13">
        <f>TEXT(MOD(TIMEVALUE(AY5)+37/1440,1),"HH:MM")</f>
        <v/>
      </c>
      <c r="AZ22" s="13">
        <f>TEXT(MOD(TIMEVALUE(AZ5)+37/1440,1),"HH:MM")</f>
        <v/>
      </c>
      <c r="BA22" s="13">
        <f>TEXT(MOD(TIMEVALUE(BA5)+37/1440,1),"HH:MM")</f>
        <v/>
      </c>
      <c r="BB22" s="13">
        <f>TEXT(MOD(TIMEVALUE(BB5)+37/1440,1),"HH:MM")</f>
        <v/>
      </c>
      <c r="BC22" s="13">
        <f>TEXT(MOD(TIMEVALUE(BC5)+37/1440,1),"HH:MM")</f>
        <v/>
      </c>
      <c r="BD22" s="13">
        <f>TEXT(MOD(TIMEVALUE(BD5)+37/1440,1),"HH:MM")</f>
        <v/>
      </c>
      <c r="BE22" s="13">
        <f>TEXT(MOD(TIMEVALUE(BE5)+37/1440,1),"HH:MM")</f>
        <v/>
      </c>
      <c r="BF22" s="13">
        <f>TEXT(MOD(TIMEVALUE(BF5)+37/1440,1),"HH:MM")</f>
        <v/>
      </c>
      <c r="BG22" s="13">
        <f>TEXT(MOD(TIMEVALUE(BG5)+37/1440,1),"HH:MM")</f>
        <v/>
      </c>
      <c r="BH22" s="13">
        <f>TEXT(MOD(TIMEVALUE(BH5)+37/1440,1),"HH:MM")</f>
        <v/>
      </c>
      <c r="BI22" s="13">
        <f>TEXT(MOD(TIMEVALUE(BI5)+37/1440,1),"HH:MM")</f>
        <v/>
      </c>
      <c r="BJ22" s="13">
        <f>TEXT(MOD(TIMEVALUE(BJ5)+37/1440,1),"HH:MM")</f>
        <v/>
      </c>
      <c r="BK22" s="13">
        <f>TEXT(MOD(TIMEVALUE(BK5)+37/1440,1),"HH:MM")</f>
        <v/>
      </c>
      <c r="BL22" s="13">
        <f>TEXT(MOD(TIMEVALUE(BL5)+37/1440,1),"HH:MM")</f>
        <v/>
      </c>
      <c r="BM22" s="13">
        <f>TEXT(MOD(TIMEVALUE(BM5)+37/1440,1),"HH:MM")</f>
        <v/>
      </c>
    </row>
    <row r="23" ht="16.5" customHeight="1" s="26">
      <c r="A23" s="23" t="inlineStr">
        <is>
          <t>Capitán Lozano</t>
        </is>
      </c>
      <c r="B23" s="15">
        <f>TEXT(MOD(TIMEVALUE(B5)+39/1440,1),"HH:MM")</f>
        <v/>
      </c>
      <c r="C23" s="15">
        <f>TEXT(MOD(TIMEVALUE(C5)+39/1440,1),"HH:MM")</f>
        <v/>
      </c>
      <c r="D23" s="15">
        <f>TEXT(MOD(TIMEVALUE(D5)+39/1440,1),"HH:MM")</f>
        <v/>
      </c>
      <c r="E23" s="15">
        <f>TEXT(MOD(TIMEVALUE(E5)+39/1440,1),"HH:MM")</f>
        <v/>
      </c>
      <c r="F23" s="15">
        <f>TEXT(MOD(TIMEVALUE(F5)+39/1440,1),"HH:MM")</f>
        <v/>
      </c>
      <c r="G23" s="15">
        <f>TEXT(MOD(TIMEVALUE(G5)+39/1440,1),"HH:MM")</f>
        <v/>
      </c>
      <c r="H23" s="15">
        <f>TEXT(MOD(TIMEVALUE(H5)+39/1440,1),"HH:MM")</f>
        <v/>
      </c>
      <c r="I23" s="15">
        <f>TEXT(MOD(TIMEVALUE(I5)+39/1440,1),"HH:MM")</f>
        <v/>
      </c>
      <c r="J23" s="15">
        <f>TEXT(MOD(TIMEVALUE(J5)+39/1440,1),"HH:MM")</f>
        <v/>
      </c>
      <c r="K23" s="15">
        <f>TEXT(MOD(TIMEVALUE(K5)+39/1440,1),"HH:MM")</f>
        <v/>
      </c>
      <c r="L23" s="15">
        <f>TEXT(MOD(TIMEVALUE(L5)+39/1440,1),"HH:MM")</f>
        <v/>
      </c>
      <c r="M23" s="15">
        <f>TEXT(MOD(TIMEVALUE(M5)+39/1440,1),"HH:MM")</f>
        <v/>
      </c>
      <c r="N23" s="15">
        <f>TEXT(MOD(TIMEVALUE(N5)+39/1440,1),"HH:MM")</f>
        <v/>
      </c>
      <c r="O23" s="15">
        <f>TEXT(MOD(TIMEVALUE(O5)+39/1440,1),"HH:MM")</f>
        <v/>
      </c>
      <c r="P23" s="15">
        <f>TEXT(MOD(TIMEVALUE(P5)+39/1440,1),"HH:MM")</f>
        <v/>
      </c>
      <c r="Q23" s="15">
        <f>TEXT(MOD(TIMEVALUE(Q5)+39/1440,1),"HH:MM")</f>
        <v/>
      </c>
      <c r="R23" s="15">
        <f>TEXT(MOD(TIMEVALUE(R5)+39/1440,1),"HH:MM")</f>
        <v/>
      </c>
      <c r="S23" s="15">
        <f>TEXT(MOD(TIMEVALUE(S5)+39/1440,1),"HH:MM")</f>
        <v/>
      </c>
      <c r="T23" s="15">
        <f>TEXT(MOD(TIMEVALUE(T5)+39/1440,1),"HH:MM")</f>
        <v/>
      </c>
      <c r="U23" s="15">
        <f>TEXT(MOD(TIMEVALUE(U5)+39/1440,1),"HH:MM")</f>
        <v/>
      </c>
      <c r="V23" s="15">
        <f>TEXT(MOD(TIMEVALUE(V5)+39/1440,1),"HH:MM")</f>
        <v/>
      </c>
      <c r="W23" s="15">
        <f>TEXT(MOD(TIMEVALUE(W5)+39/1440,1),"HH:MM")</f>
        <v/>
      </c>
      <c r="X23" s="15">
        <f>TEXT(MOD(TIMEVALUE(X5)+39/1440,1),"HH:MM")</f>
        <v/>
      </c>
      <c r="Y23" s="15">
        <f>TEXT(MOD(TIMEVALUE(Y5)+39/1440,1),"HH:MM")</f>
        <v/>
      </c>
      <c r="Z23" s="15">
        <f>TEXT(MOD(TIMEVALUE(Z5)+39/1440,1),"HH:MM")</f>
        <v/>
      </c>
      <c r="AA23" s="15">
        <f>TEXT(MOD(TIMEVALUE(AA5)+39/1440,1),"HH:MM")</f>
        <v/>
      </c>
      <c r="AB23" s="15">
        <f>TEXT(MOD(TIMEVALUE(AB5)+39/1440,1),"HH:MM")</f>
        <v/>
      </c>
      <c r="AC23" s="15">
        <f>TEXT(MOD(TIMEVALUE(AC5)+39/1440,1),"HH:MM")</f>
        <v/>
      </c>
      <c r="AD23" s="15">
        <f>TEXT(MOD(TIMEVALUE(AD5)+39/1440,1),"HH:MM")</f>
        <v/>
      </c>
      <c r="AE23" s="15">
        <f>TEXT(MOD(TIMEVALUE(AE5)+39/1440,1),"HH:MM")</f>
        <v/>
      </c>
      <c r="AF23" s="15">
        <f>TEXT(MOD(TIMEVALUE(AF5)+39/1440,1),"HH:MM")</f>
        <v/>
      </c>
      <c r="AG23" s="15">
        <f>TEXT(MOD(TIMEVALUE(AG5)+39/1440,1),"HH:MM")</f>
        <v/>
      </c>
      <c r="AH23" s="15">
        <f>TEXT(MOD(TIMEVALUE(AH5)+39/1440,1),"HH:MM")</f>
        <v/>
      </c>
      <c r="AI23" s="15">
        <f>TEXT(MOD(TIMEVALUE(AI5)+39/1440,1),"HH:MM")</f>
        <v/>
      </c>
      <c r="AJ23" s="15">
        <f>TEXT(MOD(TIMEVALUE(AJ5)+39/1440,1),"HH:MM")</f>
        <v/>
      </c>
      <c r="AK23" s="15">
        <f>TEXT(MOD(TIMEVALUE(AK5)+39/1440,1),"HH:MM")</f>
        <v/>
      </c>
      <c r="AL23" s="15">
        <f>TEXT(MOD(TIMEVALUE(AL5)+39/1440,1),"HH:MM")</f>
        <v/>
      </c>
      <c r="AM23" s="15">
        <f>TEXT(MOD(TIMEVALUE(AM5)+39/1440,1),"HH:MM")</f>
        <v/>
      </c>
      <c r="AN23" s="15">
        <f>TEXT(MOD(TIMEVALUE(AN5)+39/1440,1),"HH:MM")</f>
        <v/>
      </c>
      <c r="AO23" s="15">
        <f>TEXT(MOD(TIMEVALUE(AO5)+39/1440,1),"HH:MM")</f>
        <v/>
      </c>
      <c r="AP23" s="15">
        <f>TEXT(MOD(TIMEVALUE(AP5)+39/1440,1),"HH:MM")</f>
        <v/>
      </c>
      <c r="AQ23" s="15">
        <f>TEXT(MOD(TIMEVALUE(AQ5)+39/1440,1),"HH:MM")</f>
        <v/>
      </c>
      <c r="AR23" s="15">
        <f>TEXT(MOD(TIMEVALUE(AR5)+39/1440,1),"HH:MM")</f>
        <v/>
      </c>
      <c r="AS23" s="15">
        <f>TEXT(MOD(TIMEVALUE(AS5)+39/1440,1),"HH:MM")</f>
        <v/>
      </c>
      <c r="AT23" s="15">
        <f>TEXT(MOD(TIMEVALUE(AT5)+39/1440,1),"HH:MM")</f>
        <v/>
      </c>
      <c r="AU23" s="15">
        <f>TEXT(MOD(TIMEVALUE(AU5)+39/1440,1),"HH:MM")</f>
        <v/>
      </c>
      <c r="AV23" s="15">
        <f>TEXT(MOD(TIMEVALUE(AV5)+39/1440,1),"HH:MM")</f>
        <v/>
      </c>
      <c r="AW23" s="15">
        <f>TEXT(MOD(TIMEVALUE(AW5)+39/1440,1),"HH:MM")</f>
        <v/>
      </c>
      <c r="AX23" s="15">
        <f>TEXT(MOD(TIMEVALUE(AX5)+39/1440,1),"HH:MM")</f>
        <v/>
      </c>
      <c r="AY23" s="15">
        <f>TEXT(MOD(TIMEVALUE(AY5)+39/1440,1),"HH:MM")</f>
        <v/>
      </c>
      <c r="AZ23" s="15">
        <f>TEXT(MOD(TIMEVALUE(AZ5)+39/1440,1),"HH:MM")</f>
        <v/>
      </c>
      <c r="BA23" s="15">
        <f>TEXT(MOD(TIMEVALUE(BA5)+39/1440,1),"HH:MM")</f>
        <v/>
      </c>
      <c r="BB23" s="15">
        <f>TEXT(MOD(TIMEVALUE(BB5)+39/1440,1),"HH:MM")</f>
        <v/>
      </c>
      <c r="BC23" s="15">
        <f>TEXT(MOD(TIMEVALUE(BC5)+39/1440,1),"HH:MM")</f>
        <v/>
      </c>
      <c r="BD23" s="15">
        <f>TEXT(MOD(TIMEVALUE(BD5)+39/1440,1),"HH:MM")</f>
        <v/>
      </c>
      <c r="BE23" s="15">
        <f>TEXT(MOD(TIMEVALUE(BE5)+39/1440,1),"HH:MM")</f>
        <v/>
      </c>
      <c r="BF23" s="15">
        <f>TEXT(MOD(TIMEVALUE(BF5)+39/1440,1),"HH:MM")</f>
        <v/>
      </c>
      <c r="BG23" s="15">
        <f>TEXT(MOD(TIMEVALUE(BG5)+39/1440,1),"HH:MM")</f>
        <v/>
      </c>
      <c r="BH23" s="15">
        <f>TEXT(MOD(TIMEVALUE(BH5)+39/1440,1),"HH:MM")</f>
        <v/>
      </c>
      <c r="BI23" s="15">
        <f>TEXT(MOD(TIMEVALUE(BI5)+39/1440,1),"HH:MM")</f>
        <v/>
      </c>
      <c r="BJ23" s="15">
        <f>TEXT(MOD(TIMEVALUE(BJ5)+39/1440,1),"HH:MM")</f>
        <v/>
      </c>
      <c r="BK23" s="15">
        <f>TEXT(MOD(TIMEVALUE(BK5)+39/1440,1),"HH:MM")</f>
        <v/>
      </c>
      <c r="BL23" s="15">
        <f>TEXT(MOD(TIMEVALUE(BL5)+39/1440,1),"HH:MM")</f>
        <v/>
      </c>
      <c r="BM23" s="15">
        <f>TEXT(MOD(TIMEVALUE(BM5)+39/1440,1),"HH:MM")</f>
        <v/>
      </c>
    </row>
    <row r="24" ht="16.5" customHeight="1" s="26">
      <c r="A24" s="22" t="inlineStr">
        <is>
          <t>Teniente Agneta</t>
        </is>
      </c>
      <c r="B24" s="13">
        <f>TEXT(MOD(TIMEVALUE(B5)+41/1440,1),"HH:MM")</f>
        <v/>
      </c>
      <c r="C24" s="13">
        <f>TEXT(MOD(TIMEVALUE(C5)+41/1440,1),"HH:MM")</f>
        <v/>
      </c>
      <c r="D24" s="13">
        <f>TEXT(MOD(TIMEVALUE(D5)+41/1440,1),"HH:MM")</f>
        <v/>
      </c>
      <c r="E24" s="13">
        <f>TEXT(MOD(TIMEVALUE(E5)+41/1440,1),"HH:MM")</f>
        <v/>
      </c>
      <c r="F24" s="13">
        <f>TEXT(MOD(TIMEVALUE(F5)+41/1440,1),"HH:MM")</f>
        <v/>
      </c>
      <c r="G24" s="13">
        <f>TEXT(MOD(TIMEVALUE(G5)+41/1440,1),"HH:MM")</f>
        <v/>
      </c>
      <c r="H24" s="13">
        <f>TEXT(MOD(TIMEVALUE(H5)+41/1440,1),"HH:MM")</f>
        <v/>
      </c>
      <c r="I24" s="13">
        <f>TEXT(MOD(TIMEVALUE(I5)+41/1440,1),"HH:MM")</f>
        <v/>
      </c>
      <c r="J24" s="13">
        <f>TEXT(MOD(TIMEVALUE(J5)+41/1440,1),"HH:MM")</f>
        <v/>
      </c>
      <c r="K24" s="13">
        <f>TEXT(MOD(TIMEVALUE(K5)+41/1440,1),"HH:MM")</f>
        <v/>
      </c>
      <c r="L24" s="13">
        <f>TEXT(MOD(TIMEVALUE(L5)+41/1440,1),"HH:MM")</f>
        <v/>
      </c>
      <c r="M24" s="13">
        <f>TEXT(MOD(TIMEVALUE(M5)+41/1440,1),"HH:MM")</f>
        <v/>
      </c>
      <c r="N24" s="13">
        <f>TEXT(MOD(TIMEVALUE(N5)+41/1440,1),"HH:MM")</f>
        <v/>
      </c>
      <c r="O24" s="13">
        <f>TEXT(MOD(TIMEVALUE(O5)+41/1440,1),"HH:MM")</f>
        <v/>
      </c>
      <c r="P24" s="13">
        <f>TEXT(MOD(TIMEVALUE(P5)+41/1440,1),"HH:MM")</f>
        <v/>
      </c>
      <c r="Q24" s="13">
        <f>TEXT(MOD(TIMEVALUE(Q5)+41/1440,1),"HH:MM")</f>
        <v/>
      </c>
      <c r="R24" s="13">
        <f>TEXT(MOD(TIMEVALUE(R5)+41/1440,1),"HH:MM")</f>
        <v/>
      </c>
      <c r="S24" s="13">
        <f>TEXT(MOD(TIMEVALUE(S5)+41/1440,1),"HH:MM")</f>
        <v/>
      </c>
      <c r="T24" s="13">
        <f>TEXT(MOD(TIMEVALUE(T5)+41/1440,1),"HH:MM")</f>
        <v/>
      </c>
      <c r="U24" s="13">
        <f>TEXT(MOD(TIMEVALUE(U5)+41/1440,1),"HH:MM")</f>
        <v/>
      </c>
      <c r="V24" s="13">
        <f>TEXT(MOD(TIMEVALUE(V5)+41/1440,1),"HH:MM")</f>
        <v/>
      </c>
      <c r="W24" s="13">
        <f>TEXT(MOD(TIMEVALUE(W5)+41/1440,1),"HH:MM")</f>
        <v/>
      </c>
      <c r="X24" s="13">
        <f>TEXT(MOD(TIMEVALUE(X5)+41/1440,1),"HH:MM")</f>
        <v/>
      </c>
      <c r="Y24" s="13">
        <f>TEXT(MOD(TIMEVALUE(Y5)+41/1440,1),"HH:MM")</f>
        <v/>
      </c>
      <c r="Z24" s="13">
        <f>TEXT(MOD(TIMEVALUE(Z5)+41/1440,1),"HH:MM")</f>
        <v/>
      </c>
      <c r="AA24" s="13">
        <f>TEXT(MOD(TIMEVALUE(AA5)+41/1440,1),"HH:MM")</f>
        <v/>
      </c>
      <c r="AB24" s="13">
        <f>TEXT(MOD(TIMEVALUE(AB5)+41/1440,1),"HH:MM")</f>
        <v/>
      </c>
      <c r="AC24" s="13">
        <f>TEXT(MOD(TIMEVALUE(AC5)+41/1440,1),"HH:MM")</f>
        <v/>
      </c>
      <c r="AD24" s="13">
        <f>TEXT(MOD(TIMEVALUE(AD5)+41/1440,1),"HH:MM")</f>
        <v/>
      </c>
      <c r="AE24" s="13">
        <f>TEXT(MOD(TIMEVALUE(AE5)+41/1440,1),"HH:MM")</f>
        <v/>
      </c>
      <c r="AF24" s="13">
        <f>TEXT(MOD(TIMEVALUE(AF5)+41/1440,1),"HH:MM")</f>
        <v/>
      </c>
      <c r="AG24" s="13">
        <f>TEXT(MOD(TIMEVALUE(AG5)+41/1440,1),"HH:MM")</f>
        <v/>
      </c>
      <c r="AH24" s="13">
        <f>TEXT(MOD(TIMEVALUE(AH5)+41/1440,1),"HH:MM")</f>
        <v/>
      </c>
      <c r="AI24" s="13">
        <f>TEXT(MOD(TIMEVALUE(AI5)+41/1440,1),"HH:MM")</f>
        <v/>
      </c>
      <c r="AJ24" s="13">
        <f>TEXT(MOD(TIMEVALUE(AJ5)+41/1440,1),"HH:MM")</f>
        <v/>
      </c>
      <c r="AK24" s="13">
        <f>TEXT(MOD(TIMEVALUE(AK5)+41/1440,1),"HH:MM")</f>
        <v/>
      </c>
      <c r="AL24" s="13">
        <f>TEXT(MOD(TIMEVALUE(AL5)+41/1440,1),"HH:MM")</f>
        <v/>
      </c>
      <c r="AM24" s="13">
        <f>TEXT(MOD(TIMEVALUE(AM5)+41/1440,1),"HH:MM")</f>
        <v/>
      </c>
      <c r="AN24" s="13">
        <f>TEXT(MOD(TIMEVALUE(AN5)+41/1440,1),"HH:MM")</f>
        <v/>
      </c>
      <c r="AO24" s="13">
        <f>TEXT(MOD(TIMEVALUE(AO5)+41/1440,1),"HH:MM")</f>
        <v/>
      </c>
      <c r="AP24" s="13">
        <f>TEXT(MOD(TIMEVALUE(AP5)+41/1440,1),"HH:MM")</f>
        <v/>
      </c>
      <c r="AQ24" s="13">
        <f>TEXT(MOD(TIMEVALUE(AQ5)+41/1440,1),"HH:MM")</f>
        <v/>
      </c>
      <c r="AR24" s="13">
        <f>TEXT(MOD(TIMEVALUE(AR5)+41/1440,1),"HH:MM")</f>
        <v/>
      </c>
      <c r="AS24" s="13">
        <f>TEXT(MOD(TIMEVALUE(AS5)+41/1440,1),"HH:MM")</f>
        <v/>
      </c>
      <c r="AT24" s="13">
        <f>TEXT(MOD(TIMEVALUE(AT5)+41/1440,1),"HH:MM")</f>
        <v/>
      </c>
      <c r="AU24" s="13">
        <f>TEXT(MOD(TIMEVALUE(AU5)+41/1440,1),"HH:MM")</f>
        <v/>
      </c>
      <c r="AV24" s="13">
        <f>TEXT(MOD(TIMEVALUE(AV5)+41/1440,1),"HH:MM")</f>
        <v/>
      </c>
      <c r="AW24" s="13">
        <f>TEXT(MOD(TIMEVALUE(AW5)+41/1440,1),"HH:MM")</f>
        <v/>
      </c>
      <c r="AX24" s="13">
        <f>TEXT(MOD(TIMEVALUE(AX5)+41/1440,1),"HH:MM")</f>
        <v/>
      </c>
      <c r="AY24" s="13">
        <f>TEXT(MOD(TIMEVALUE(AY5)+41/1440,1),"HH:MM")</f>
        <v/>
      </c>
      <c r="AZ24" s="13">
        <f>TEXT(MOD(TIMEVALUE(AZ5)+41/1440,1),"HH:MM")</f>
        <v/>
      </c>
      <c r="BA24" s="13">
        <f>TEXT(MOD(TIMEVALUE(BA5)+41/1440,1),"HH:MM")</f>
        <v/>
      </c>
      <c r="BB24" s="13">
        <f>TEXT(MOD(TIMEVALUE(BB5)+41/1440,1),"HH:MM")</f>
        <v/>
      </c>
      <c r="BC24" s="13">
        <f>TEXT(MOD(TIMEVALUE(BC5)+41/1440,1),"HH:MM")</f>
        <v/>
      </c>
      <c r="BD24" s="13">
        <f>TEXT(MOD(TIMEVALUE(BD5)+41/1440,1),"HH:MM")</f>
        <v/>
      </c>
      <c r="BE24" s="13">
        <f>TEXT(MOD(TIMEVALUE(BE5)+41/1440,1),"HH:MM")</f>
        <v/>
      </c>
      <c r="BF24" s="13">
        <f>TEXT(MOD(TIMEVALUE(BF5)+41/1440,1),"HH:MM")</f>
        <v/>
      </c>
      <c r="BG24" s="13">
        <f>TEXT(MOD(TIMEVALUE(BG5)+41/1440,1),"HH:MM")</f>
        <v/>
      </c>
      <c r="BH24" s="13">
        <f>TEXT(MOD(TIMEVALUE(BH5)+41/1440,1),"HH:MM")</f>
        <v/>
      </c>
      <c r="BI24" s="13">
        <f>TEXT(MOD(TIMEVALUE(BI5)+41/1440,1),"HH:MM")</f>
        <v/>
      </c>
      <c r="BJ24" s="13">
        <f>TEXT(MOD(TIMEVALUE(BJ5)+41/1440,1),"HH:MM")</f>
        <v/>
      </c>
      <c r="BK24" s="13">
        <f>TEXT(MOD(TIMEVALUE(BK5)+41/1440,1),"HH:MM")</f>
        <v/>
      </c>
      <c r="BL24" s="13">
        <f>TEXT(MOD(TIMEVALUE(BL5)+41/1440,1),"HH:MM")</f>
        <v/>
      </c>
      <c r="BM24" s="13">
        <f>TEXT(MOD(TIMEVALUE(BM5)+41/1440,1),"HH:MM")</f>
        <v/>
      </c>
    </row>
    <row r="25" ht="16.5" customHeight="1" s="26">
      <c r="A25" s="23" t="inlineStr">
        <is>
          <t>Campo de Mayo</t>
        </is>
      </c>
      <c r="B25" s="15">
        <f>TEXT(MOD(TIMEVALUE(B5)+43/1440,1),"HH:MM")</f>
        <v/>
      </c>
      <c r="C25" s="15">
        <f>TEXT(MOD(TIMEVALUE(C5)+43/1440,1),"HH:MM")</f>
        <v/>
      </c>
      <c r="D25" s="15">
        <f>TEXT(MOD(TIMEVALUE(D5)+43/1440,1),"HH:MM")</f>
        <v/>
      </c>
      <c r="E25" s="15">
        <f>TEXT(MOD(TIMEVALUE(E5)+43/1440,1),"HH:MM")</f>
        <v/>
      </c>
      <c r="F25" s="15">
        <f>TEXT(MOD(TIMEVALUE(F5)+43/1440,1),"HH:MM")</f>
        <v/>
      </c>
      <c r="G25" s="15">
        <f>TEXT(MOD(TIMEVALUE(G5)+43/1440,1),"HH:MM")</f>
        <v/>
      </c>
      <c r="H25" s="15">
        <f>TEXT(MOD(TIMEVALUE(H5)+43/1440,1),"HH:MM")</f>
        <v/>
      </c>
      <c r="I25" s="15">
        <f>TEXT(MOD(TIMEVALUE(I5)+43/1440,1),"HH:MM")</f>
        <v/>
      </c>
      <c r="J25" s="15">
        <f>TEXT(MOD(TIMEVALUE(J5)+43/1440,1),"HH:MM")</f>
        <v/>
      </c>
      <c r="K25" s="15">
        <f>TEXT(MOD(TIMEVALUE(K5)+43/1440,1),"HH:MM")</f>
        <v/>
      </c>
      <c r="L25" s="15">
        <f>TEXT(MOD(TIMEVALUE(L5)+43/1440,1),"HH:MM")</f>
        <v/>
      </c>
      <c r="M25" s="15">
        <f>TEXT(MOD(TIMEVALUE(M5)+43/1440,1),"HH:MM")</f>
        <v/>
      </c>
      <c r="N25" s="15">
        <f>TEXT(MOD(TIMEVALUE(N5)+43/1440,1),"HH:MM")</f>
        <v/>
      </c>
      <c r="O25" s="15">
        <f>TEXT(MOD(TIMEVALUE(O5)+43/1440,1),"HH:MM")</f>
        <v/>
      </c>
      <c r="P25" s="15">
        <f>TEXT(MOD(TIMEVALUE(P5)+43/1440,1),"HH:MM")</f>
        <v/>
      </c>
      <c r="Q25" s="15">
        <f>TEXT(MOD(TIMEVALUE(Q5)+43/1440,1),"HH:MM")</f>
        <v/>
      </c>
      <c r="R25" s="15">
        <f>TEXT(MOD(TIMEVALUE(R5)+43/1440,1),"HH:MM")</f>
        <v/>
      </c>
      <c r="S25" s="15">
        <f>TEXT(MOD(TIMEVALUE(S5)+43/1440,1),"HH:MM")</f>
        <v/>
      </c>
      <c r="T25" s="15">
        <f>TEXT(MOD(TIMEVALUE(T5)+43/1440,1),"HH:MM")</f>
        <v/>
      </c>
      <c r="U25" s="15">
        <f>TEXT(MOD(TIMEVALUE(U5)+43/1440,1),"HH:MM")</f>
        <v/>
      </c>
      <c r="V25" s="15">
        <f>TEXT(MOD(TIMEVALUE(V5)+43/1440,1),"HH:MM")</f>
        <v/>
      </c>
      <c r="W25" s="15">
        <f>TEXT(MOD(TIMEVALUE(W5)+43/1440,1),"HH:MM")</f>
        <v/>
      </c>
      <c r="X25" s="15">
        <f>TEXT(MOD(TIMEVALUE(X5)+43/1440,1),"HH:MM")</f>
        <v/>
      </c>
      <c r="Y25" s="15">
        <f>TEXT(MOD(TIMEVALUE(Y5)+43/1440,1),"HH:MM")</f>
        <v/>
      </c>
      <c r="Z25" s="15">
        <f>TEXT(MOD(TIMEVALUE(Z5)+43/1440,1),"HH:MM")</f>
        <v/>
      </c>
      <c r="AA25" s="15">
        <f>TEXT(MOD(TIMEVALUE(AA5)+43/1440,1),"HH:MM")</f>
        <v/>
      </c>
      <c r="AB25" s="15">
        <f>TEXT(MOD(TIMEVALUE(AB5)+43/1440,1),"HH:MM")</f>
        <v/>
      </c>
      <c r="AC25" s="15">
        <f>TEXT(MOD(TIMEVALUE(AC5)+43/1440,1),"HH:MM")</f>
        <v/>
      </c>
      <c r="AD25" s="15">
        <f>TEXT(MOD(TIMEVALUE(AD5)+43/1440,1),"HH:MM")</f>
        <v/>
      </c>
      <c r="AE25" s="15">
        <f>TEXT(MOD(TIMEVALUE(AE5)+43/1440,1),"HH:MM")</f>
        <v/>
      </c>
      <c r="AF25" s="15">
        <f>TEXT(MOD(TIMEVALUE(AF5)+43/1440,1),"HH:MM")</f>
        <v/>
      </c>
      <c r="AG25" s="15">
        <f>TEXT(MOD(TIMEVALUE(AG5)+43/1440,1),"HH:MM")</f>
        <v/>
      </c>
      <c r="AH25" s="15">
        <f>TEXT(MOD(TIMEVALUE(AH5)+43/1440,1),"HH:MM")</f>
        <v/>
      </c>
      <c r="AI25" s="15">
        <f>TEXT(MOD(TIMEVALUE(AI5)+43/1440,1),"HH:MM")</f>
        <v/>
      </c>
      <c r="AJ25" s="15">
        <f>TEXT(MOD(TIMEVALUE(AJ5)+43/1440,1),"HH:MM")</f>
        <v/>
      </c>
      <c r="AK25" s="15">
        <f>TEXT(MOD(TIMEVALUE(AK5)+43/1440,1),"HH:MM")</f>
        <v/>
      </c>
      <c r="AL25" s="15">
        <f>TEXT(MOD(TIMEVALUE(AL5)+43/1440,1),"HH:MM")</f>
        <v/>
      </c>
      <c r="AM25" s="15">
        <f>TEXT(MOD(TIMEVALUE(AM5)+43/1440,1),"HH:MM")</f>
        <v/>
      </c>
      <c r="AN25" s="15">
        <f>TEXT(MOD(TIMEVALUE(AN5)+43/1440,1),"HH:MM")</f>
        <v/>
      </c>
      <c r="AO25" s="15">
        <f>TEXT(MOD(TIMEVALUE(AO5)+43/1440,1),"HH:MM")</f>
        <v/>
      </c>
      <c r="AP25" s="15">
        <f>TEXT(MOD(TIMEVALUE(AP5)+43/1440,1),"HH:MM")</f>
        <v/>
      </c>
      <c r="AQ25" s="15">
        <f>TEXT(MOD(TIMEVALUE(AQ5)+43/1440,1),"HH:MM")</f>
        <v/>
      </c>
      <c r="AR25" s="15">
        <f>TEXT(MOD(TIMEVALUE(AR5)+43/1440,1),"HH:MM")</f>
        <v/>
      </c>
      <c r="AS25" s="15">
        <f>TEXT(MOD(TIMEVALUE(AS5)+43/1440,1),"HH:MM")</f>
        <v/>
      </c>
      <c r="AT25" s="15">
        <f>TEXT(MOD(TIMEVALUE(AT5)+43/1440,1),"HH:MM")</f>
        <v/>
      </c>
      <c r="AU25" s="15">
        <f>TEXT(MOD(TIMEVALUE(AU5)+43/1440,1),"HH:MM")</f>
        <v/>
      </c>
      <c r="AV25" s="15">
        <f>TEXT(MOD(TIMEVALUE(AV5)+43/1440,1),"HH:MM")</f>
        <v/>
      </c>
      <c r="AW25" s="15">
        <f>TEXT(MOD(TIMEVALUE(AW5)+43/1440,1),"HH:MM")</f>
        <v/>
      </c>
      <c r="AX25" s="15">
        <f>TEXT(MOD(TIMEVALUE(AX5)+43/1440,1),"HH:MM")</f>
        <v/>
      </c>
      <c r="AY25" s="15">
        <f>TEXT(MOD(TIMEVALUE(AY5)+43/1440,1),"HH:MM")</f>
        <v/>
      </c>
      <c r="AZ25" s="15">
        <f>TEXT(MOD(TIMEVALUE(AZ5)+43/1440,1),"HH:MM")</f>
        <v/>
      </c>
      <c r="BA25" s="15">
        <f>TEXT(MOD(TIMEVALUE(BA5)+43/1440,1),"HH:MM")</f>
        <v/>
      </c>
      <c r="BB25" s="15">
        <f>TEXT(MOD(TIMEVALUE(BB5)+43/1440,1),"HH:MM")</f>
        <v/>
      </c>
      <c r="BC25" s="15">
        <f>TEXT(MOD(TIMEVALUE(BC5)+43/1440,1),"HH:MM")</f>
        <v/>
      </c>
      <c r="BD25" s="15">
        <f>TEXT(MOD(TIMEVALUE(BD5)+43/1440,1),"HH:MM")</f>
        <v/>
      </c>
      <c r="BE25" s="15">
        <f>TEXT(MOD(TIMEVALUE(BE5)+43/1440,1),"HH:MM")</f>
        <v/>
      </c>
      <c r="BF25" s="15">
        <f>TEXT(MOD(TIMEVALUE(BF5)+43/1440,1),"HH:MM")</f>
        <v/>
      </c>
      <c r="BG25" s="15">
        <f>TEXT(MOD(TIMEVALUE(BG5)+43/1440,1),"HH:MM")</f>
        <v/>
      </c>
      <c r="BH25" s="15">
        <f>TEXT(MOD(TIMEVALUE(BH5)+43/1440,1),"HH:MM")</f>
        <v/>
      </c>
      <c r="BI25" s="15">
        <f>TEXT(MOD(TIMEVALUE(BI5)+43/1440,1),"HH:MM")</f>
        <v/>
      </c>
      <c r="BJ25" s="15">
        <f>TEXT(MOD(TIMEVALUE(BJ5)+43/1440,1),"HH:MM")</f>
        <v/>
      </c>
      <c r="BK25" s="15">
        <f>TEXT(MOD(TIMEVALUE(BK5)+43/1440,1),"HH:MM")</f>
        <v/>
      </c>
      <c r="BL25" s="15">
        <f>TEXT(MOD(TIMEVALUE(BL5)+43/1440,1),"HH:MM")</f>
        <v/>
      </c>
      <c r="BM25" s="15">
        <f>TEXT(MOD(TIMEVALUE(BM5)+43/1440,1),"HH:MM")</f>
        <v/>
      </c>
    </row>
    <row r="26" ht="16.5" customHeight="1" s="26">
      <c r="A26" s="22" t="inlineStr">
        <is>
          <t>Sargento Cabral</t>
        </is>
      </c>
      <c r="B26" s="13">
        <f>TEXT(MOD(TIMEVALUE(B5)+45/1440,1),"HH:MM")</f>
        <v/>
      </c>
      <c r="C26" s="13">
        <f>TEXT(MOD(TIMEVALUE(C5)+45/1440,1),"HH:MM")</f>
        <v/>
      </c>
      <c r="D26" s="13">
        <f>TEXT(MOD(TIMEVALUE(D5)+45/1440,1),"HH:MM")</f>
        <v/>
      </c>
      <c r="E26" s="13">
        <f>TEXT(MOD(TIMEVALUE(E5)+45/1440,1),"HH:MM")</f>
        <v/>
      </c>
      <c r="F26" s="13">
        <f>TEXT(MOD(TIMEVALUE(F5)+45/1440,1),"HH:MM")</f>
        <v/>
      </c>
      <c r="G26" s="13">
        <f>TEXT(MOD(TIMEVALUE(G5)+45/1440,1),"HH:MM")</f>
        <v/>
      </c>
      <c r="H26" s="13">
        <f>TEXT(MOD(TIMEVALUE(H5)+45/1440,1),"HH:MM")</f>
        <v/>
      </c>
      <c r="I26" s="13">
        <f>TEXT(MOD(TIMEVALUE(I5)+45/1440,1),"HH:MM")</f>
        <v/>
      </c>
      <c r="J26" s="13">
        <f>TEXT(MOD(TIMEVALUE(J5)+45/1440,1),"HH:MM")</f>
        <v/>
      </c>
      <c r="K26" s="13">
        <f>TEXT(MOD(TIMEVALUE(K5)+45/1440,1),"HH:MM")</f>
        <v/>
      </c>
      <c r="L26" s="13">
        <f>TEXT(MOD(TIMEVALUE(L5)+45/1440,1),"HH:MM")</f>
        <v/>
      </c>
      <c r="M26" s="13">
        <f>TEXT(MOD(TIMEVALUE(M5)+45/1440,1),"HH:MM")</f>
        <v/>
      </c>
      <c r="N26" s="13">
        <f>TEXT(MOD(TIMEVALUE(N5)+45/1440,1),"HH:MM")</f>
        <v/>
      </c>
      <c r="O26" s="13">
        <f>TEXT(MOD(TIMEVALUE(O5)+45/1440,1),"HH:MM")</f>
        <v/>
      </c>
      <c r="P26" s="13">
        <f>TEXT(MOD(TIMEVALUE(P5)+45/1440,1),"HH:MM")</f>
        <v/>
      </c>
      <c r="Q26" s="13">
        <f>TEXT(MOD(TIMEVALUE(Q5)+45/1440,1),"HH:MM")</f>
        <v/>
      </c>
      <c r="R26" s="13">
        <f>TEXT(MOD(TIMEVALUE(R5)+45/1440,1),"HH:MM")</f>
        <v/>
      </c>
      <c r="S26" s="13">
        <f>TEXT(MOD(TIMEVALUE(S5)+45/1440,1),"HH:MM")</f>
        <v/>
      </c>
      <c r="T26" s="13">
        <f>TEXT(MOD(TIMEVALUE(T5)+45/1440,1),"HH:MM")</f>
        <v/>
      </c>
      <c r="U26" s="13">
        <f>TEXT(MOD(TIMEVALUE(U5)+45/1440,1),"HH:MM")</f>
        <v/>
      </c>
      <c r="V26" s="13">
        <f>TEXT(MOD(TIMEVALUE(V5)+45/1440,1),"HH:MM")</f>
        <v/>
      </c>
      <c r="W26" s="13">
        <f>TEXT(MOD(TIMEVALUE(W5)+45/1440,1),"HH:MM")</f>
        <v/>
      </c>
      <c r="X26" s="13">
        <f>TEXT(MOD(TIMEVALUE(X5)+45/1440,1),"HH:MM")</f>
        <v/>
      </c>
      <c r="Y26" s="13">
        <f>TEXT(MOD(TIMEVALUE(Y5)+45/1440,1),"HH:MM")</f>
        <v/>
      </c>
      <c r="Z26" s="13">
        <f>TEXT(MOD(TIMEVALUE(Z5)+45/1440,1),"HH:MM")</f>
        <v/>
      </c>
      <c r="AA26" s="13">
        <f>TEXT(MOD(TIMEVALUE(AA5)+45/1440,1),"HH:MM")</f>
        <v/>
      </c>
      <c r="AB26" s="13">
        <f>TEXT(MOD(TIMEVALUE(AB5)+45/1440,1),"HH:MM")</f>
        <v/>
      </c>
      <c r="AC26" s="13">
        <f>TEXT(MOD(TIMEVALUE(AC5)+45/1440,1),"HH:MM")</f>
        <v/>
      </c>
      <c r="AD26" s="13">
        <f>TEXT(MOD(TIMEVALUE(AD5)+45/1440,1),"HH:MM")</f>
        <v/>
      </c>
      <c r="AE26" s="13">
        <f>TEXT(MOD(TIMEVALUE(AE5)+45/1440,1),"HH:MM")</f>
        <v/>
      </c>
      <c r="AF26" s="13">
        <f>TEXT(MOD(TIMEVALUE(AF5)+45/1440,1),"HH:MM")</f>
        <v/>
      </c>
      <c r="AG26" s="13">
        <f>TEXT(MOD(TIMEVALUE(AG5)+45/1440,1),"HH:MM")</f>
        <v/>
      </c>
      <c r="AH26" s="13">
        <f>TEXT(MOD(TIMEVALUE(AH5)+45/1440,1),"HH:MM")</f>
        <v/>
      </c>
      <c r="AI26" s="13">
        <f>TEXT(MOD(TIMEVALUE(AI5)+45/1440,1),"HH:MM")</f>
        <v/>
      </c>
      <c r="AJ26" s="13">
        <f>TEXT(MOD(TIMEVALUE(AJ5)+45/1440,1),"HH:MM")</f>
        <v/>
      </c>
      <c r="AK26" s="13">
        <f>TEXT(MOD(TIMEVALUE(AK5)+45/1440,1),"HH:MM")</f>
        <v/>
      </c>
      <c r="AL26" s="13">
        <f>TEXT(MOD(TIMEVALUE(AL5)+45/1440,1),"HH:MM")</f>
        <v/>
      </c>
      <c r="AM26" s="13">
        <f>TEXT(MOD(TIMEVALUE(AM5)+45/1440,1),"HH:MM")</f>
        <v/>
      </c>
      <c r="AN26" s="13">
        <f>TEXT(MOD(TIMEVALUE(AN5)+45/1440,1),"HH:MM")</f>
        <v/>
      </c>
      <c r="AO26" s="13">
        <f>TEXT(MOD(TIMEVALUE(AO5)+45/1440,1),"HH:MM")</f>
        <v/>
      </c>
      <c r="AP26" s="13">
        <f>TEXT(MOD(TIMEVALUE(AP5)+45/1440,1),"HH:MM")</f>
        <v/>
      </c>
      <c r="AQ26" s="13">
        <f>TEXT(MOD(TIMEVALUE(AQ5)+45/1440,1),"HH:MM")</f>
        <v/>
      </c>
      <c r="AR26" s="13">
        <f>TEXT(MOD(TIMEVALUE(AR5)+45/1440,1),"HH:MM")</f>
        <v/>
      </c>
      <c r="AS26" s="13">
        <f>TEXT(MOD(TIMEVALUE(AS5)+45/1440,1),"HH:MM")</f>
        <v/>
      </c>
      <c r="AT26" s="13">
        <f>TEXT(MOD(TIMEVALUE(AT5)+45/1440,1),"HH:MM")</f>
        <v/>
      </c>
      <c r="AU26" s="13">
        <f>TEXT(MOD(TIMEVALUE(AU5)+45/1440,1),"HH:MM")</f>
        <v/>
      </c>
      <c r="AV26" s="13">
        <f>TEXT(MOD(TIMEVALUE(AV5)+45/1440,1),"HH:MM")</f>
        <v/>
      </c>
      <c r="AW26" s="13">
        <f>TEXT(MOD(TIMEVALUE(AW5)+45/1440,1),"HH:MM")</f>
        <v/>
      </c>
      <c r="AX26" s="13">
        <f>TEXT(MOD(TIMEVALUE(AX5)+45/1440,1),"HH:MM")</f>
        <v/>
      </c>
      <c r="AY26" s="13">
        <f>TEXT(MOD(TIMEVALUE(AY5)+45/1440,1),"HH:MM")</f>
        <v/>
      </c>
      <c r="AZ26" s="13">
        <f>TEXT(MOD(TIMEVALUE(AZ5)+45/1440,1),"HH:MM")</f>
        <v/>
      </c>
      <c r="BA26" s="13">
        <f>TEXT(MOD(TIMEVALUE(BA5)+45/1440,1),"HH:MM")</f>
        <v/>
      </c>
      <c r="BB26" s="13">
        <f>TEXT(MOD(TIMEVALUE(BB5)+45/1440,1),"HH:MM")</f>
        <v/>
      </c>
      <c r="BC26" s="13">
        <f>TEXT(MOD(TIMEVALUE(BC5)+45/1440,1),"HH:MM")</f>
        <v/>
      </c>
      <c r="BD26" s="13">
        <f>TEXT(MOD(TIMEVALUE(BD5)+45/1440,1),"HH:MM")</f>
        <v/>
      </c>
      <c r="BE26" s="13">
        <f>TEXT(MOD(TIMEVALUE(BE5)+45/1440,1),"HH:MM")</f>
        <v/>
      </c>
      <c r="BF26" s="13">
        <f>TEXT(MOD(TIMEVALUE(BF5)+45/1440,1),"HH:MM")</f>
        <v/>
      </c>
      <c r="BG26" s="13">
        <f>TEXT(MOD(TIMEVALUE(BG5)+45/1440,1),"HH:MM")</f>
        <v/>
      </c>
      <c r="BH26" s="13">
        <f>TEXT(MOD(TIMEVALUE(BH5)+45/1440,1),"HH:MM")</f>
        <v/>
      </c>
      <c r="BI26" s="13">
        <f>TEXT(MOD(TIMEVALUE(BI5)+45/1440,1),"HH:MM")</f>
        <v/>
      </c>
      <c r="BJ26" s="13">
        <f>TEXT(MOD(TIMEVALUE(BJ5)+45/1440,1),"HH:MM")</f>
        <v/>
      </c>
      <c r="BK26" s="13">
        <f>TEXT(MOD(TIMEVALUE(BK5)+45/1440,1),"HH:MM")</f>
        <v/>
      </c>
      <c r="BL26" s="13">
        <f>TEXT(MOD(TIMEVALUE(BL5)+45/1440,1),"HH:MM")</f>
        <v/>
      </c>
      <c r="BM26" s="13">
        <f>TEXT(MOD(TIMEVALUE(BM5)+45/1440,1),"HH:MM")</f>
        <v/>
      </c>
    </row>
    <row r="27" ht="16.5" customHeight="1" s="26">
      <c r="A27" s="23" t="inlineStr">
        <is>
          <t>General Lemos</t>
        </is>
      </c>
      <c r="B27" s="15">
        <f>TEXT(MOD(TIMEVALUE(B5)+48/1440,1),"HH:MM")</f>
        <v/>
      </c>
      <c r="C27" s="15">
        <f>TEXT(MOD(TIMEVALUE(C5)+48/1440,1),"HH:MM")</f>
        <v/>
      </c>
      <c r="D27" s="15">
        <f>TEXT(MOD(TIMEVALUE(D5)+48/1440,1),"HH:MM")</f>
        <v/>
      </c>
      <c r="E27" s="15">
        <f>TEXT(MOD(TIMEVALUE(E5)+48/1440,1),"HH:MM")</f>
        <v/>
      </c>
      <c r="F27" s="15">
        <f>TEXT(MOD(TIMEVALUE(F5)+48/1440,1),"HH:MM")</f>
        <v/>
      </c>
      <c r="G27" s="15">
        <f>TEXT(MOD(TIMEVALUE(G5)+48/1440,1),"HH:MM")</f>
        <v/>
      </c>
      <c r="H27" s="15">
        <f>TEXT(MOD(TIMEVALUE(H5)+48/1440,1),"HH:MM")</f>
        <v/>
      </c>
      <c r="I27" s="15">
        <f>TEXT(MOD(TIMEVALUE(I5)+48/1440,1),"HH:MM")</f>
        <v/>
      </c>
      <c r="J27" s="15">
        <f>TEXT(MOD(TIMEVALUE(J5)+48/1440,1),"HH:MM")</f>
        <v/>
      </c>
      <c r="K27" s="15">
        <f>TEXT(MOD(TIMEVALUE(K5)+48/1440,1),"HH:MM")</f>
        <v/>
      </c>
      <c r="L27" s="15">
        <f>TEXT(MOD(TIMEVALUE(L5)+48/1440,1),"HH:MM")</f>
        <v/>
      </c>
      <c r="M27" s="15">
        <f>TEXT(MOD(TIMEVALUE(M5)+48/1440,1),"HH:MM")</f>
        <v/>
      </c>
      <c r="N27" s="15">
        <f>TEXT(MOD(TIMEVALUE(N5)+48/1440,1),"HH:MM")</f>
        <v/>
      </c>
      <c r="O27" s="15">
        <f>TEXT(MOD(TIMEVALUE(O5)+48/1440,1),"HH:MM")</f>
        <v/>
      </c>
      <c r="P27" s="15">
        <f>TEXT(MOD(TIMEVALUE(P5)+48/1440,1),"HH:MM")</f>
        <v/>
      </c>
      <c r="Q27" s="15">
        <f>TEXT(MOD(TIMEVALUE(Q5)+48/1440,1),"HH:MM")</f>
        <v/>
      </c>
      <c r="R27" s="15">
        <f>TEXT(MOD(TIMEVALUE(R5)+48/1440,1),"HH:MM")</f>
        <v/>
      </c>
      <c r="S27" s="15">
        <f>TEXT(MOD(TIMEVALUE(S5)+48/1440,1),"HH:MM")</f>
        <v/>
      </c>
      <c r="T27" s="15">
        <f>TEXT(MOD(TIMEVALUE(T5)+48/1440,1),"HH:MM")</f>
        <v/>
      </c>
      <c r="U27" s="15">
        <f>TEXT(MOD(TIMEVALUE(U5)+48/1440,1),"HH:MM")</f>
        <v/>
      </c>
      <c r="V27" s="15">
        <f>TEXT(MOD(TIMEVALUE(V5)+48/1440,1),"HH:MM")</f>
        <v/>
      </c>
      <c r="W27" s="15">
        <f>TEXT(MOD(TIMEVALUE(W5)+48/1440,1),"HH:MM")</f>
        <v/>
      </c>
      <c r="X27" s="15">
        <f>TEXT(MOD(TIMEVALUE(X5)+48/1440,1),"HH:MM")</f>
        <v/>
      </c>
      <c r="Y27" s="15">
        <f>TEXT(MOD(TIMEVALUE(Y5)+48/1440,1),"HH:MM")</f>
        <v/>
      </c>
      <c r="Z27" s="15">
        <f>TEXT(MOD(TIMEVALUE(Z5)+48/1440,1),"HH:MM")</f>
        <v/>
      </c>
      <c r="AA27" s="15">
        <f>TEXT(MOD(TIMEVALUE(AA5)+48/1440,1),"HH:MM")</f>
        <v/>
      </c>
      <c r="AB27" s="15">
        <f>TEXT(MOD(TIMEVALUE(AB5)+48/1440,1),"HH:MM")</f>
        <v/>
      </c>
      <c r="AC27" s="15">
        <f>TEXT(MOD(TIMEVALUE(AC5)+48/1440,1),"HH:MM")</f>
        <v/>
      </c>
      <c r="AD27" s="15">
        <f>TEXT(MOD(TIMEVALUE(AD5)+48/1440,1),"HH:MM")</f>
        <v/>
      </c>
      <c r="AE27" s="15">
        <f>TEXT(MOD(TIMEVALUE(AE5)+48/1440,1),"HH:MM")</f>
        <v/>
      </c>
      <c r="AF27" s="15">
        <f>TEXT(MOD(TIMEVALUE(AF5)+48/1440,1),"HH:MM")</f>
        <v/>
      </c>
      <c r="AG27" s="15">
        <f>TEXT(MOD(TIMEVALUE(AG5)+48/1440,1),"HH:MM")</f>
        <v/>
      </c>
      <c r="AH27" s="15">
        <f>TEXT(MOD(TIMEVALUE(AH5)+48/1440,1),"HH:MM")</f>
        <v/>
      </c>
      <c r="AI27" s="15">
        <f>TEXT(MOD(TIMEVALUE(AI5)+48/1440,1),"HH:MM")</f>
        <v/>
      </c>
      <c r="AJ27" s="15">
        <f>TEXT(MOD(TIMEVALUE(AJ5)+48/1440,1),"HH:MM")</f>
        <v/>
      </c>
      <c r="AK27" s="15">
        <f>TEXT(MOD(TIMEVALUE(AK5)+48/1440,1),"HH:MM")</f>
        <v/>
      </c>
      <c r="AL27" s="15">
        <f>TEXT(MOD(TIMEVALUE(AL5)+48/1440,1),"HH:MM")</f>
        <v/>
      </c>
      <c r="AM27" s="15">
        <f>TEXT(MOD(TIMEVALUE(AM5)+48/1440,1),"HH:MM")</f>
        <v/>
      </c>
      <c r="AN27" s="15">
        <f>TEXT(MOD(TIMEVALUE(AN5)+48/1440,1),"HH:MM")</f>
        <v/>
      </c>
      <c r="AO27" s="15">
        <f>TEXT(MOD(TIMEVALUE(AO5)+48/1440,1),"HH:MM")</f>
        <v/>
      </c>
      <c r="AP27" s="15">
        <f>TEXT(MOD(TIMEVALUE(AP5)+48/1440,1),"HH:MM")</f>
        <v/>
      </c>
      <c r="AQ27" s="15">
        <f>TEXT(MOD(TIMEVALUE(AQ5)+48/1440,1),"HH:MM")</f>
        <v/>
      </c>
      <c r="AR27" s="15">
        <f>TEXT(MOD(TIMEVALUE(AR5)+48/1440,1),"HH:MM")</f>
        <v/>
      </c>
      <c r="AS27" s="15">
        <f>TEXT(MOD(TIMEVALUE(AS5)+48/1440,1),"HH:MM")</f>
        <v/>
      </c>
      <c r="AT27" s="15">
        <f>TEXT(MOD(TIMEVALUE(AT5)+48/1440,1),"HH:MM")</f>
        <v/>
      </c>
      <c r="AU27" s="15">
        <f>TEXT(MOD(TIMEVALUE(AU5)+48/1440,1),"HH:MM")</f>
        <v/>
      </c>
      <c r="AV27" s="15">
        <f>TEXT(MOD(TIMEVALUE(AV5)+48/1440,1),"HH:MM")</f>
        <v/>
      </c>
      <c r="AW27" s="15">
        <f>TEXT(MOD(TIMEVALUE(AW5)+48/1440,1),"HH:MM")</f>
        <v/>
      </c>
      <c r="AX27" s="15">
        <f>TEXT(MOD(TIMEVALUE(AX5)+48/1440,1),"HH:MM")</f>
        <v/>
      </c>
      <c r="AY27" s="15">
        <f>TEXT(MOD(TIMEVALUE(AY5)+48/1440,1),"HH:MM")</f>
        <v/>
      </c>
      <c r="AZ27" s="15">
        <f>TEXT(MOD(TIMEVALUE(AZ5)+48/1440,1),"HH:MM")</f>
        <v/>
      </c>
      <c r="BA27" s="15">
        <f>TEXT(MOD(TIMEVALUE(BA5)+48/1440,1),"HH:MM")</f>
        <v/>
      </c>
      <c r="BB27" s="15">
        <f>TEXT(MOD(TIMEVALUE(BB5)+48/1440,1),"HH:MM")</f>
        <v/>
      </c>
      <c r="BC27" s="15">
        <f>TEXT(MOD(TIMEVALUE(BC5)+48/1440,1),"HH:MM")</f>
        <v/>
      </c>
      <c r="BD27" s="15">
        <f>TEXT(MOD(TIMEVALUE(BD5)+48/1440,1),"HH:MM")</f>
        <v/>
      </c>
      <c r="BE27" s="15">
        <f>TEXT(MOD(TIMEVALUE(BE5)+48/1440,1),"HH:MM")</f>
        <v/>
      </c>
      <c r="BF27" s="15">
        <f>TEXT(MOD(TIMEVALUE(BF5)+48/1440,1),"HH:MM")</f>
        <v/>
      </c>
      <c r="BG27" s="15">
        <f>TEXT(MOD(TIMEVALUE(BG5)+48/1440,1),"HH:MM")</f>
        <v/>
      </c>
      <c r="BH27" s="15">
        <f>TEXT(MOD(TIMEVALUE(BH5)+48/1440,1),"HH:MM")</f>
        <v/>
      </c>
      <c r="BI27" s="15">
        <f>TEXT(MOD(TIMEVALUE(BI5)+48/1440,1),"HH:MM")</f>
        <v/>
      </c>
      <c r="BJ27" s="15">
        <f>TEXT(MOD(TIMEVALUE(BJ5)+48/1440,1),"HH:MM")</f>
        <v/>
      </c>
      <c r="BK27" s="15">
        <f>TEXT(MOD(TIMEVALUE(BK5)+48/1440,1),"HH:MM")</f>
        <v/>
      </c>
      <c r="BL27" s="15">
        <f>TEXT(MOD(TIMEVALUE(BL5)+48/1440,1),"HH:MM")</f>
        <v/>
      </c>
      <c r="BM27" s="15">
        <f>TEXT(MOD(TIMEVALUE(BM5)+48/1440,1),"HH:MM")</f>
        <v/>
      </c>
    </row>
    <row r="28" ht="15.75" customHeight="1" s="26"/>
    <row r="29" ht="15.75" customHeight="1" s="26">
      <c r="A29" s="16" t="inlineStr">
        <is>
          <t>Fuente: Horario Mural Invierno 2026, Metrovías — metrovias.com.ar  |  Modificar la hora de salida en la fila de la estación de origen para recalcular todo el recorrido.</t>
        </is>
      </c>
    </row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3">
    <mergeCell ref="A1:BM1"/>
    <mergeCell ref="A2:BM2"/>
    <mergeCell ref="A29:BM29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29"/>
  <sheetViews>
    <sheetView showGridLines="0" workbookViewId="0">
      <selection activeCell="A1" sqref="A1"/>
    </sheetView>
  </sheetViews>
  <sheetFormatPr baseColWidth="8" defaultColWidth="14.43" defaultRowHeight="15" customHeight="1"/>
  <cols>
    <col width="24" customWidth="1" style="26" min="1" max="1"/>
    <col width="7" customWidth="1" style="26" min="2" max="39"/>
  </cols>
  <sheetData>
    <row r="1" ht="27.75" customHeight="1" s="26">
      <c r="A1" s="37" t="inlineStr">
        <is>
          <t>Tren Urquiza — Domingos → Lemos</t>
        </is>
      </c>
    </row>
    <row r="2" ht="15.75" customHeight="1" s="26">
      <c r="A2" s="38" t="inlineStr">
        <is>
          <t>Salida desde Federico Lacroze  |  Horario Mural Invierno 2026 — Metrovías</t>
        </is>
      </c>
    </row>
    <row r="3" ht="4.5" customHeight="1" s="26"/>
    <row r="4" ht="19.5" customHeight="1" s="26">
      <c r="A4" s="17" t="inlineStr">
        <is>
          <t>Estación</t>
        </is>
      </c>
      <c r="B4" s="18" t="inlineStr">
        <is>
          <t>01:00</t>
        </is>
      </c>
      <c r="C4" s="18" t="inlineStr">
        <is>
          <t>04:25</t>
        </is>
      </c>
      <c r="D4" s="18" t="inlineStr">
        <is>
          <t>05:15</t>
        </is>
      </c>
      <c r="E4" s="18" t="inlineStr">
        <is>
          <t>06:20</t>
        </is>
      </c>
      <c r="F4" s="18" t="inlineStr">
        <is>
          <t>06:55</t>
        </is>
      </c>
      <c r="G4" s="18" t="inlineStr">
        <is>
          <t>07:25</t>
        </is>
      </c>
      <c r="H4" s="18" t="inlineStr">
        <is>
          <t>07:55</t>
        </is>
      </c>
      <c r="I4" s="18" t="inlineStr">
        <is>
          <t>08:25</t>
        </is>
      </c>
      <c r="J4" s="18" t="inlineStr">
        <is>
          <t>08:55</t>
        </is>
      </c>
      <c r="K4" s="18" t="inlineStr">
        <is>
          <t>09:25</t>
        </is>
      </c>
      <c r="L4" s="18" t="inlineStr">
        <is>
          <t>09:55</t>
        </is>
      </c>
      <c r="M4" s="18" t="inlineStr">
        <is>
          <t>10:25</t>
        </is>
      </c>
      <c r="N4" s="18" t="inlineStr">
        <is>
          <t>10:55</t>
        </is>
      </c>
      <c r="O4" s="18" t="inlineStr">
        <is>
          <t>11:25</t>
        </is>
      </c>
      <c r="P4" s="18" t="inlineStr">
        <is>
          <t>11:55</t>
        </is>
      </c>
      <c r="Q4" s="18" t="inlineStr">
        <is>
          <t>12:25</t>
        </is>
      </c>
      <c r="R4" s="18" t="inlineStr">
        <is>
          <t>12:55</t>
        </is>
      </c>
      <c r="S4" s="18" t="inlineStr">
        <is>
          <t>13:25</t>
        </is>
      </c>
      <c r="T4" s="18" t="inlineStr">
        <is>
          <t>13:55</t>
        </is>
      </c>
      <c r="U4" s="18" t="inlineStr">
        <is>
          <t>14:25</t>
        </is>
      </c>
      <c r="V4" s="18" t="inlineStr">
        <is>
          <t>14:55</t>
        </is>
      </c>
      <c r="W4" s="18" t="inlineStr">
        <is>
          <t>15:25</t>
        </is>
      </c>
      <c r="X4" s="18" t="inlineStr">
        <is>
          <t>15:55</t>
        </is>
      </c>
      <c r="Y4" s="18" t="inlineStr">
        <is>
          <t>16:25</t>
        </is>
      </c>
      <c r="Z4" s="18" t="inlineStr">
        <is>
          <t>16:55</t>
        </is>
      </c>
      <c r="AA4" s="18" t="inlineStr">
        <is>
          <t>17:25</t>
        </is>
      </c>
      <c r="AB4" s="18" t="inlineStr">
        <is>
          <t>17:55</t>
        </is>
      </c>
      <c r="AC4" s="18" t="inlineStr">
        <is>
          <t>18:25</t>
        </is>
      </c>
      <c r="AD4" s="18" t="inlineStr">
        <is>
          <t>18:55</t>
        </is>
      </c>
      <c r="AE4" s="18" t="inlineStr">
        <is>
          <t>19:25</t>
        </is>
      </c>
      <c r="AF4" s="18" t="inlineStr">
        <is>
          <t>19:55</t>
        </is>
      </c>
      <c r="AG4" s="18" t="inlineStr">
        <is>
          <t>20:25</t>
        </is>
      </c>
      <c r="AH4" s="18" t="inlineStr">
        <is>
          <t>20:55</t>
        </is>
      </c>
      <c r="AI4" s="18" t="inlineStr">
        <is>
          <t>21:25</t>
        </is>
      </c>
      <c r="AJ4" s="18" t="inlineStr">
        <is>
          <t>21:55</t>
        </is>
      </c>
      <c r="AK4" s="18" t="inlineStr">
        <is>
          <t>22:25</t>
        </is>
      </c>
      <c r="AL4" s="18" t="inlineStr">
        <is>
          <t>22:55</t>
        </is>
      </c>
      <c r="AM4" s="18" t="inlineStr">
        <is>
          <t>23:50</t>
        </is>
      </c>
    </row>
    <row r="5" ht="16.5" customHeight="1" s="26">
      <c r="A5" s="19" t="inlineStr">
        <is>
          <t>Federico Lacroze</t>
        </is>
      </c>
      <c r="B5" s="21" t="inlineStr">
        <is>
          <t>01:00</t>
        </is>
      </c>
      <c r="C5" s="21" t="inlineStr">
        <is>
          <t>04:25</t>
        </is>
      </c>
      <c r="D5" s="21" t="inlineStr">
        <is>
          <t>05:15</t>
        </is>
      </c>
      <c r="E5" s="21" t="inlineStr">
        <is>
          <t>06:20</t>
        </is>
      </c>
      <c r="F5" s="21" t="inlineStr">
        <is>
          <t>06:55</t>
        </is>
      </c>
      <c r="G5" s="21" t="inlineStr">
        <is>
          <t>07:25</t>
        </is>
      </c>
      <c r="H5" s="21" t="inlineStr">
        <is>
          <t>07:55</t>
        </is>
      </c>
      <c r="I5" s="21" t="inlineStr">
        <is>
          <t>08:25</t>
        </is>
      </c>
      <c r="J5" s="21" t="inlineStr">
        <is>
          <t>08:55</t>
        </is>
      </c>
      <c r="K5" s="21" t="inlineStr">
        <is>
          <t>09:25</t>
        </is>
      </c>
      <c r="L5" s="21" t="inlineStr">
        <is>
          <t>09:55</t>
        </is>
      </c>
      <c r="M5" s="21" t="inlineStr">
        <is>
          <t>10:25</t>
        </is>
      </c>
      <c r="N5" s="21" t="inlineStr">
        <is>
          <t>10:55</t>
        </is>
      </c>
      <c r="O5" s="21" t="inlineStr">
        <is>
          <t>11:25</t>
        </is>
      </c>
      <c r="P5" s="21" t="inlineStr">
        <is>
          <t>11:55</t>
        </is>
      </c>
      <c r="Q5" s="21" t="inlineStr">
        <is>
          <t>12:25</t>
        </is>
      </c>
      <c r="R5" s="21" t="inlineStr">
        <is>
          <t>12:55</t>
        </is>
      </c>
      <c r="S5" s="21" t="inlineStr">
        <is>
          <t>13:25</t>
        </is>
      </c>
      <c r="T5" s="21" t="inlineStr">
        <is>
          <t>13:55</t>
        </is>
      </c>
      <c r="U5" s="21" t="inlineStr">
        <is>
          <t>14:25</t>
        </is>
      </c>
      <c r="V5" s="21" t="inlineStr">
        <is>
          <t>14:55</t>
        </is>
      </c>
      <c r="W5" s="21" t="inlineStr">
        <is>
          <t>15:25</t>
        </is>
      </c>
      <c r="X5" s="21" t="inlineStr">
        <is>
          <t>15:55</t>
        </is>
      </c>
      <c r="Y5" s="21" t="inlineStr">
        <is>
          <t>16:25</t>
        </is>
      </c>
      <c r="Z5" s="21" t="inlineStr">
        <is>
          <t>16:55</t>
        </is>
      </c>
      <c r="AA5" s="21" t="inlineStr">
        <is>
          <t>17:25</t>
        </is>
      </c>
      <c r="AB5" s="21" t="inlineStr">
        <is>
          <t>17:55</t>
        </is>
      </c>
      <c r="AC5" s="21" t="inlineStr">
        <is>
          <t>18:25</t>
        </is>
      </c>
      <c r="AD5" s="21" t="inlineStr">
        <is>
          <t>18:55</t>
        </is>
      </c>
      <c r="AE5" s="21" t="inlineStr">
        <is>
          <t>19:25</t>
        </is>
      </c>
      <c r="AF5" s="21" t="inlineStr">
        <is>
          <t>19:55</t>
        </is>
      </c>
      <c r="AG5" s="21" t="inlineStr">
        <is>
          <t>20:25</t>
        </is>
      </c>
      <c r="AH5" s="21" t="inlineStr">
        <is>
          <t>20:55</t>
        </is>
      </c>
      <c r="AI5" s="21" t="inlineStr">
        <is>
          <t>21:25</t>
        </is>
      </c>
      <c r="AJ5" s="21" t="inlineStr">
        <is>
          <t>21:55</t>
        </is>
      </c>
      <c r="AK5" s="21" t="inlineStr">
        <is>
          <t>22:25</t>
        </is>
      </c>
      <c r="AL5" s="21" t="inlineStr">
        <is>
          <t>22:55</t>
        </is>
      </c>
      <c r="AM5" s="21" t="inlineStr">
        <is>
          <t>23:50</t>
        </is>
      </c>
    </row>
    <row r="6" ht="16.5" customHeight="1" s="26">
      <c r="A6" s="22" t="inlineStr">
        <is>
          <t>José Artigas</t>
        </is>
      </c>
      <c r="B6" s="13">
        <f>TEXT(MOD(TIMEVALUE(B5)+3/1440,1),"HH:MM")</f>
        <v/>
      </c>
      <c r="C6" s="13">
        <f>TEXT(MOD(TIMEVALUE(C5)+3/1440,1),"HH:MM")</f>
        <v/>
      </c>
      <c r="D6" s="13">
        <f>TEXT(MOD(TIMEVALUE(D5)+3/1440,1),"HH:MM")</f>
        <v/>
      </c>
      <c r="E6" s="13">
        <f>TEXT(MOD(TIMEVALUE(E5)+3/1440,1),"HH:MM")</f>
        <v/>
      </c>
      <c r="F6" s="13">
        <f>TEXT(MOD(TIMEVALUE(F5)+3/1440,1),"HH:MM")</f>
        <v/>
      </c>
      <c r="G6" s="13">
        <f>TEXT(MOD(TIMEVALUE(G5)+3/1440,1),"HH:MM")</f>
        <v/>
      </c>
      <c r="H6" s="13">
        <f>TEXT(MOD(TIMEVALUE(H5)+3/1440,1),"HH:MM")</f>
        <v/>
      </c>
      <c r="I6" s="13">
        <f>TEXT(MOD(TIMEVALUE(I5)+3/1440,1),"HH:MM")</f>
        <v/>
      </c>
      <c r="J6" s="13">
        <f>TEXT(MOD(TIMEVALUE(J5)+3/1440,1),"HH:MM")</f>
        <v/>
      </c>
      <c r="K6" s="13">
        <f>TEXT(MOD(TIMEVALUE(K5)+3/1440,1),"HH:MM")</f>
        <v/>
      </c>
      <c r="L6" s="13">
        <f>TEXT(MOD(TIMEVALUE(L5)+3/1440,1),"HH:MM")</f>
        <v/>
      </c>
      <c r="M6" s="13">
        <f>TEXT(MOD(TIMEVALUE(M5)+3/1440,1),"HH:MM")</f>
        <v/>
      </c>
      <c r="N6" s="13">
        <f>TEXT(MOD(TIMEVALUE(N5)+3/1440,1),"HH:MM")</f>
        <v/>
      </c>
      <c r="O6" s="13">
        <f>TEXT(MOD(TIMEVALUE(O5)+3/1440,1),"HH:MM")</f>
        <v/>
      </c>
      <c r="P6" s="13">
        <f>TEXT(MOD(TIMEVALUE(P5)+3/1440,1),"HH:MM")</f>
        <v/>
      </c>
      <c r="Q6" s="13">
        <f>TEXT(MOD(TIMEVALUE(Q5)+3/1440,1),"HH:MM")</f>
        <v/>
      </c>
      <c r="R6" s="13">
        <f>TEXT(MOD(TIMEVALUE(R5)+3/1440,1),"HH:MM")</f>
        <v/>
      </c>
      <c r="S6" s="13">
        <f>TEXT(MOD(TIMEVALUE(S5)+3/1440,1),"HH:MM")</f>
        <v/>
      </c>
      <c r="T6" s="13">
        <f>TEXT(MOD(TIMEVALUE(T5)+3/1440,1),"HH:MM")</f>
        <v/>
      </c>
      <c r="U6" s="13">
        <f>TEXT(MOD(TIMEVALUE(U5)+3/1440,1),"HH:MM")</f>
        <v/>
      </c>
      <c r="V6" s="13">
        <f>TEXT(MOD(TIMEVALUE(V5)+3/1440,1),"HH:MM")</f>
        <v/>
      </c>
      <c r="W6" s="13">
        <f>TEXT(MOD(TIMEVALUE(W5)+3/1440,1),"HH:MM")</f>
        <v/>
      </c>
      <c r="X6" s="13">
        <f>TEXT(MOD(TIMEVALUE(X5)+3/1440,1),"HH:MM")</f>
        <v/>
      </c>
      <c r="Y6" s="13">
        <f>TEXT(MOD(TIMEVALUE(Y5)+3/1440,1),"HH:MM")</f>
        <v/>
      </c>
      <c r="Z6" s="13">
        <f>TEXT(MOD(TIMEVALUE(Z5)+3/1440,1),"HH:MM")</f>
        <v/>
      </c>
      <c r="AA6" s="13">
        <f>TEXT(MOD(TIMEVALUE(AA5)+3/1440,1),"HH:MM")</f>
        <v/>
      </c>
      <c r="AB6" s="13">
        <f>TEXT(MOD(TIMEVALUE(AB5)+3/1440,1),"HH:MM")</f>
        <v/>
      </c>
      <c r="AC6" s="13">
        <f>TEXT(MOD(TIMEVALUE(AC5)+3/1440,1),"HH:MM")</f>
        <v/>
      </c>
      <c r="AD6" s="13">
        <f>TEXT(MOD(TIMEVALUE(AD5)+3/1440,1),"HH:MM")</f>
        <v/>
      </c>
      <c r="AE6" s="13">
        <f>TEXT(MOD(TIMEVALUE(AE5)+3/1440,1),"HH:MM")</f>
        <v/>
      </c>
      <c r="AF6" s="13">
        <f>TEXT(MOD(TIMEVALUE(AF5)+3/1440,1),"HH:MM")</f>
        <v/>
      </c>
      <c r="AG6" s="13">
        <f>TEXT(MOD(TIMEVALUE(AG5)+3/1440,1),"HH:MM")</f>
        <v/>
      </c>
      <c r="AH6" s="13">
        <f>TEXT(MOD(TIMEVALUE(AH5)+3/1440,1),"HH:MM")</f>
        <v/>
      </c>
      <c r="AI6" s="13">
        <f>TEXT(MOD(TIMEVALUE(AI5)+3/1440,1),"HH:MM")</f>
        <v/>
      </c>
      <c r="AJ6" s="13">
        <f>TEXT(MOD(TIMEVALUE(AJ5)+3/1440,1),"HH:MM")</f>
        <v/>
      </c>
      <c r="AK6" s="13">
        <f>TEXT(MOD(TIMEVALUE(AK5)+3/1440,1),"HH:MM")</f>
        <v/>
      </c>
      <c r="AL6" s="13">
        <f>TEXT(MOD(TIMEVALUE(AL5)+3/1440,1),"HH:MM")</f>
        <v/>
      </c>
      <c r="AM6" s="13">
        <f>TEXT(MOD(TIMEVALUE(AM5)+3/1440,1),"HH:MM")</f>
        <v/>
      </c>
    </row>
    <row r="7" ht="16.5" customHeight="1" s="26">
      <c r="A7" s="23" t="inlineStr">
        <is>
          <t>Pedro N. Arata</t>
        </is>
      </c>
      <c r="B7" s="15">
        <f>TEXT(MOD(TIMEVALUE(B5)+5/1440,1),"HH:MM")</f>
        <v/>
      </c>
      <c r="C7" s="15">
        <f>TEXT(MOD(TIMEVALUE(C5)+5/1440,1),"HH:MM")</f>
        <v/>
      </c>
      <c r="D7" s="15">
        <f>TEXT(MOD(TIMEVALUE(D5)+5/1440,1),"HH:MM")</f>
        <v/>
      </c>
      <c r="E7" s="15">
        <f>TEXT(MOD(TIMEVALUE(E5)+5/1440,1),"HH:MM")</f>
        <v/>
      </c>
      <c r="F7" s="15">
        <f>TEXT(MOD(TIMEVALUE(F5)+5/1440,1),"HH:MM")</f>
        <v/>
      </c>
      <c r="G7" s="15">
        <f>TEXT(MOD(TIMEVALUE(G5)+5/1440,1),"HH:MM")</f>
        <v/>
      </c>
      <c r="H7" s="15">
        <f>TEXT(MOD(TIMEVALUE(H5)+5/1440,1),"HH:MM")</f>
        <v/>
      </c>
      <c r="I7" s="15">
        <f>TEXT(MOD(TIMEVALUE(I5)+5/1440,1),"HH:MM")</f>
        <v/>
      </c>
      <c r="J7" s="15">
        <f>TEXT(MOD(TIMEVALUE(J5)+5/1440,1),"HH:MM")</f>
        <v/>
      </c>
      <c r="K7" s="15">
        <f>TEXT(MOD(TIMEVALUE(K5)+5/1440,1),"HH:MM")</f>
        <v/>
      </c>
      <c r="L7" s="15">
        <f>TEXT(MOD(TIMEVALUE(L5)+5/1440,1),"HH:MM")</f>
        <v/>
      </c>
      <c r="M7" s="15">
        <f>TEXT(MOD(TIMEVALUE(M5)+5/1440,1),"HH:MM")</f>
        <v/>
      </c>
      <c r="N7" s="15">
        <f>TEXT(MOD(TIMEVALUE(N5)+5/1440,1),"HH:MM")</f>
        <v/>
      </c>
      <c r="O7" s="15">
        <f>TEXT(MOD(TIMEVALUE(O5)+5/1440,1),"HH:MM")</f>
        <v/>
      </c>
      <c r="P7" s="15">
        <f>TEXT(MOD(TIMEVALUE(P5)+5/1440,1),"HH:MM")</f>
        <v/>
      </c>
      <c r="Q7" s="15">
        <f>TEXT(MOD(TIMEVALUE(Q5)+5/1440,1),"HH:MM")</f>
        <v/>
      </c>
      <c r="R7" s="15">
        <f>TEXT(MOD(TIMEVALUE(R5)+5/1440,1),"HH:MM")</f>
        <v/>
      </c>
      <c r="S7" s="15">
        <f>TEXT(MOD(TIMEVALUE(S5)+5/1440,1),"HH:MM")</f>
        <v/>
      </c>
      <c r="T7" s="15">
        <f>TEXT(MOD(TIMEVALUE(T5)+5/1440,1),"HH:MM")</f>
        <v/>
      </c>
      <c r="U7" s="15">
        <f>TEXT(MOD(TIMEVALUE(U5)+5/1440,1),"HH:MM")</f>
        <v/>
      </c>
      <c r="V7" s="15">
        <f>TEXT(MOD(TIMEVALUE(V5)+5/1440,1),"HH:MM")</f>
        <v/>
      </c>
      <c r="W7" s="15">
        <f>TEXT(MOD(TIMEVALUE(W5)+5/1440,1),"HH:MM")</f>
        <v/>
      </c>
      <c r="X7" s="15">
        <f>TEXT(MOD(TIMEVALUE(X5)+5/1440,1),"HH:MM")</f>
        <v/>
      </c>
      <c r="Y7" s="15">
        <f>TEXT(MOD(TIMEVALUE(Y5)+5/1440,1),"HH:MM")</f>
        <v/>
      </c>
      <c r="Z7" s="15">
        <f>TEXT(MOD(TIMEVALUE(Z5)+5/1440,1),"HH:MM")</f>
        <v/>
      </c>
      <c r="AA7" s="15">
        <f>TEXT(MOD(TIMEVALUE(AA5)+5/1440,1),"HH:MM")</f>
        <v/>
      </c>
      <c r="AB7" s="15">
        <f>TEXT(MOD(TIMEVALUE(AB5)+5/1440,1),"HH:MM")</f>
        <v/>
      </c>
      <c r="AC7" s="15">
        <f>TEXT(MOD(TIMEVALUE(AC5)+5/1440,1),"HH:MM")</f>
        <v/>
      </c>
      <c r="AD7" s="15">
        <f>TEXT(MOD(TIMEVALUE(AD5)+5/1440,1),"HH:MM")</f>
        <v/>
      </c>
      <c r="AE7" s="15">
        <f>TEXT(MOD(TIMEVALUE(AE5)+5/1440,1),"HH:MM")</f>
        <v/>
      </c>
      <c r="AF7" s="15">
        <f>TEXT(MOD(TIMEVALUE(AF5)+5/1440,1),"HH:MM")</f>
        <v/>
      </c>
      <c r="AG7" s="15">
        <f>TEXT(MOD(TIMEVALUE(AG5)+5/1440,1),"HH:MM")</f>
        <v/>
      </c>
      <c r="AH7" s="15">
        <f>TEXT(MOD(TIMEVALUE(AH5)+5/1440,1),"HH:MM")</f>
        <v/>
      </c>
      <c r="AI7" s="15">
        <f>TEXT(MOD(TIMEVALUE(AI5)+5/1440,1),"HH:MM")</f>
        <v/>
      </c>
      <c r="AJ7" s="15">
        <f>TEXT(MOD(TIMEVALUE(AJ5)+5/1440,1),"HH:MM")</f>
        <v/>
      </c>
      <c r="AK7" s="15">
        <f>TEXT(MOD(TIMEVALUE(AK5)+5/1440,1),"HH:MM")</f>
        <v/>
      </c>
      <c r="AL7" s="15">
        <f>TEXT(MOD(TIMEVALUE(AL5)+5/1440,1),"HH:MM")</f>
        <v/>
      </c>
      <c r="AM7" s="15">
        <f>TEXT(MOD(TIMEVALUE(AM5)+5/1440,1),"HH:MM")</f>
        <v/>
      </c>
    </row>
    <row r="8" ht="16.5" customHeight="1" s="26">
      <c r="A8" s="22" t="inlineStr">
        <is>
          <t>Dr. Fco. Beiró</t>
        </is>
      </c>
      <c r="B8" s="13">
        <f>TEXT(MOD(TIMEVALUE(B5)+7/1440,1),"HH:MM")</f>
        <v/>
      </c>
      <c r="C8" s="13">
        <f>TEXT(MOD(TIMEVALUE(C5)+7/1440,1),"HH:MM")</f>
        <v/>
      </c>
      <c r="D8" s="13">
        <f>TEXT(MOD(TIMEVALUE(D5)+7/1440,1),"HH:MM")</f>
        <v/>
      </c>
      <c r="E8" s="13">
        <f>TEXT(MOD(TIMEVALUE(E5)+7/1440,1),"HH:MM")</f>
        <v/>
      </c>
      <c r="F8" s="13">
        <f>TEXT(MOD(TIMEVALUE(F5)+7/1440,1),"HH:MM")</f>
        <v/>
      </c>
      <c r="G8" s="13">
        <f>TEXT(MOD(TIMEVALUE(G5)+7/1440,1),"HH:MM")</f>
        <v/>
      </c>
      <c r="H8" s="13">
        <f>TEXT(MOD(TIMEVALUE(H5)+7/1440,1),"HH:MM")</f>
        <v/>
      </c>
      <c r="I8" s="13">
        <f>TEXT(MOD(TIMEVALUE(I5)+7/1440,1),"HH:MM")</f>
        <v/>
      </c>
      <c r="J8" s="13">
        <f>TEXT(MOD(TIMEVALUE(J5)+7/1440,1),"HH:MM")</f>
        <v/>
      </c>
      <c r="K8" s="13">
        <f>TEXT(MOD(TIMEVALUE(K5)+7/1440,1),"HH:MM")</f>
        <v/>
      </c>
      <c r="L8" s="13">
        <f>TEXT(MOD(TIMEVALUE(L5)+7/1440,1),"HH:MM")</f>
        <v/>
      </c>
      <c r="M8" s="13">
        <f>TEXT(MOD(TIMEVALUE(M5)+7/1440,1),"HH:MM")</f>
        <v/>
      </c>
      <c r="N8" s="13">
        <f>TEXT(MOD(TIMEVALUE(N5)+7/1440,1),"HH:MM")</f>
        <v/>
      </c>
      <c r="O8" s="13">
        <f>TEXT(MOD(TIMEVALUE(O5)+7/1440,1),"HH:MM")</f>
        <v/>
      </c>
      <c r="P8" s="13">
        <f>TEXT(MOD(TIMEVALUE(P5)+7/1440,1),"HH:MM")</f>
        <v/>
      </c>
      <c r="Q8" s="13">
        <f>TEXT(MOD(TIMEVALUE(Q5)+7/1440,1),"HH:MM")</f>
        <v/>
      </c>
      <c r="R8" s="13">
        <f>TEXT(MOD(TIMEVALUE(R5)+7/1440,1),"HH:MM")</f>
        <v/>
      </c>
      <c r="S8" s="13">
        <f>TEXT(MOD(TIMEVALUE(S5)+7/1440,1),"HH:MM")</f>
        <v/>
      </c>
      <c r="T8" s="13">
        <f>TEXT(MOD(TIMEVALUE(T5)+7/1440,1),"HH:MM")</f>
        <v/>
      </c>
      <c r="U8" s="13">
        <f>TEXT(MOD(TIMEVALUE(U5)+7/1440,1),"HH:MM")</f>
        <v/>
      </c>
      <c r="V8" s="13">
        <f>TEXT(MOD(TIMEVALUE(V5)+7/1440,1),"HH:MM")</f>
        <v/>
      </c>
      <c r="W8" s="13">
        <f>TEXT(MOD(TIMEVALUE(W5)+7/1440,1),"HH:MM")</f>
        <v/>
      </c>
      <c r="X8" s="13">
        <f>TEXT(MOD(TIMEVALUE(X5)+7/1440,1),"HH:MM")</f>
        <v/>
      </c>
      <c r="Y8" s="13">
        <f>TEXT(MOD(TIMEVALUE(Y5)+7/1440,1),"HH:MM")</f>
        <v/>
      </c>
      <c r="Z8" s="13">
        <f>TEXT(MOD(TIMEVALUE(Z5)+7/1440,1),"HH:MM")</f>
        <v/>
      </c>
      <c r="AA8" s="13">
        <f>TEXT(MOD(TIMEVALUE(AA5)+7/1440,1),"HH:MM")</f>
        <v/>
      </c>
      <c r="AB8" s="13">
        <f>TEXT(MOD(TIMEVALUE(AB5)+7/1440,1),"HH:MM")</f>
        <v/>
      </c>
      <c r="AC8" s="13">
        <f>TEXT(MOD(TIMEVALUE(AC5)+7/1440,1),"HH:MM")</f>
        <v/>
      </c>
      <c r="AD8" s="13">
        <f>TEXT(MOD(TIMEVALUE(AD5)+7/1440,1),"HH:MM")</f>
        <v/>
      </c>
      <c r="AE8" s="13">
        <f>TEXT(MOD(TIMEVALUE(AE5)+7/1440,1),"HH:MM")</f>
        <v/>
      </c>
      <c r="AF8" s="13">
        <f>TEXT(MOD(TIMEVALUE(AF5)+7/1440,1),"HH:MM")</f>
        <v/>
      </c>
      <c r="AG8" s="13">
        <f>TEXT(MOD(TIMEVALUE(AG5)+7/1440,1),"HH:MM")</f>
        <v/>
      </c>
      <c r="AH8" s="13">
        <f>TEXT(MOD(TIMEVALUE(AH5)+7/1440,1),"HH:MM")</f>
        <v/>
      </c>
      <c r="AI8" s="13">
        <f>TEXT(MOD(TIMEVALUE(AI5)+7/1440,1),"HH:MM")</f>
        <v/>
      </c>
      <c r="AJ8" s="13">
        <f>TEXT(MOD(TIMEVALUE(AJ5)+7/1440,1),"HH:MM")</f>
        <v/>
      </c>
      <c r="AK8" s="13">
        <f>TEXT(MOD(TIMEVALUE(AK5)+7/1440,1),"HH:MM")</f>
        <v/>
      </c>
      <c r="AL8" s="13">
        <f>TEXT(MOD(TIMEVALUE(AL5)+7/1440,1),"HH:MM")</f>
        <v/>
      </c>
      <c r="AM8" s="13">
        <f>TEXT(MOD(TIMEVALUE(AM5)+7/1440,1),"HH:MM")</f>
        <v/>
      </c>
    </row>
    <row r="9" ht="16.5" customHeight="1" s="26">
      <c r="A9" s="23" t="inlineStr">
        <is>
          <t>El Libertador</t>
        </is>
      </c>
      <c r="B9" s="15">
        <f>TEXT(MOD(TIMEVALUE(B5)+9/1440,1),"HH:MM")</f>
        <v/>
      </c>
      <c r="C9" s="15">
        <f>TEXT(MOD(TIMEVALUE(C5)+9/1440,1),"HH:MM")</f>
        <v/>
      </c>
      <c r="D9" s="15">
        <f>TEXT(MOD(TIMEVALUE(D5)+9/1440,1),"HH:MM")</f>
        <v/>
      </c>
      <c r="E9" s="15">
        <f>TEXT(MOD(TIMEVALUE(E5)+9/1440,1),"HH:MM")</f>
        <v/>
      </c>
      <c r="F9" s="15">
        <f>TEXT(MOD(TIMEVALUE(F5)+9/1440,1),"HH:MM")</f>
        <v/>
      </c>
      <c r="G9" s="15">
        <f>TEXT(MOD(TIMEVALUE(G5)+9/1440,1),"HH:MM")</f>
        <v/>
      </c>
      <c r="H9" s="15">
        <f>TEXT(MOD(TIMEVALUE(H5)+9/1440,1),"HH:MM")</f>
        <v/>
      </c>
      <c r="I9" s="15">
        <f>TEXT(MOD(TIMEVALUE(I5)+9/1440,1),"HH:MM")</f>
        <v/>
      </c>
      <c r="J9" s="15">
        <f>TEXT(MOD(TIMEVALUE(J5)+9/1440,1),"HH:MM")</f>
        <v/>
      </c>
      <c r="K9" s="15">
        <f>TEXT(MOD(TIMEVALUE(K5)+9/1440,1),"HH:MM")</f>
        <v/>
      </c>
      <c r="L9" s="15">
        <f>TEXT(MOD(TIMEVALUE(L5)+9/1440,1),"HH:MM")</f>
        <v/>
      </c>
      <c r="M9" s="15">
        <f>TEXT(MOD(TIMEVALUE(M5)+9/1440,1),"HH:MM")</f>
        <v/>
      </c>
      <c r="N9" s="15">
        <f>TEXT(MOD(TIMEVALUE(N5)+9/1440,1),"HH:MM")</f>
        <v/>
      </c>
      <c r="O9" s="15">
        <f>TEXT(MOD(TIMEVALUE(O5)+9/1440,1),"HH:MM")</f>
        <v/>
      </c>
      <c r="P9" s="15">
        <f>TEXT(MOD(TIMEVALUE(P5)+9/1440,1),"HH:MM")</f>
        <v/>
      </c>
      <c r="Q9" s="15">
        <f>TEXT(MOD(TIMEVALUE(Q5)+9/1440,1),"HH:MM")</f>
        <v/>
      </c>
      <c r="R9" s="15">
        <f>TEXT(MOD(TIMEVALUE(R5)+9/1440,1),"HH:MM")</f>
        <v/>
      </c>
      <c r="S9" s="15">
        <f>TEXT(MOD(TIMEVALUE(S5)+9/1440,1),"HH:MM")</f>
        <v/>
      </c>
      <c r="T9" s="15">
        <f>TEXT(MOD(TIMEVALUE(T5)+9/1440,1),"HH:MM")</f>
        <v/>
      </c>
      <c r="U9" s="15">
        <f>TEXT(MOD(TIMEVALUE(U5)+9/1440,1),"HH:MM")</f>
        <v/>
      </c>
      <c r="V9" s="15">
        <f>TEXT(MOD(TIMEVALUE(V5)+9/1440,1),"HH:MM")</f>
        <v/>
      </c>
      <c r="W9" s="15">
        <f>TEXT(MOD(TIMEVALUE(W5)+9/1440,1),"HH:MM")</f>
        <v/>
      </c>
      <c r="X9" s="15">
        <f>TEXT(MOD(TIMEVALUE(X5)+9/1440,1),"HH:MM")</f>
        <v/>
      </c>
      <c r="Y9" s="15">
        <f>TEXT(MOD(TIMEVALUE(Y5)+9/1440,1),"HH:MM")</f>
        <v/>
      </c>
      <c r="Z9" s="15">
        <f>TEXT(MOD(TIMEVALUE(Z5)+9/1440,1),"HH:MM")</f>
        <v/>
      </c>
      <c r="AA9" s="15">
        <f>TEXT(MOD(TIMEVALUE(AA5)+9/1440,1),"HH:MM")</f>
        <v/>
      </c>
      <c r="AB9" s="15">
        <f>TEXT(MOD(TIMEVALUE(AB5)+9/1440,1),"HH:MM")</f>
        <v/>
      </c>
      <c r="AC9" s="15">
        <f>TEXT(MOD(TIMEVALUE(AC5)+9/1440,1),"HH:MM")</f>
        <v/>
      </c>
      <c r="AD9" s="15">
        <f>TEXT(MOD(TIMEVALUE(AD5)+9/1440,1),"HH:MM")</f>
        <v/>
      </c>
      <c r="AE9" s="15">
        <f>TEXT(MOD(TIMEVALUE(AE5)+9/1440,1),"HH:MM")</f>
        <v/>
      </c>
      <c r="AF9" s="15">
        <f>TEXT(MOD(TIMEVALUE(AF5)+9/1440,1),"HH:MM")</f>
        <v/>
      </c>
      <c r="AG9" s="15">
        <f>TEXT(MOD(TIMEVALUE(AG5)+9/1440,1),"HH:MM")</f>
        <v/>
      </c>
      <c r="AH9" s="15">
        <f>TEXT(MOD(TIMEVALUE(AH5)+9/1440,1),"HH:MM")</f>
        <v/>
      </c>
      <c r="AI9" s="15">
        <f>TEXT(MOD(TIMEVALUE(AI5)+9/1440,1),"HH:MM")</f>
        <v/>
      </c>
      <c r="AJ9" s="15">
        <f>TEXT(MOD(TIMEVALUE(AJ5)+9/1440,1),"HH:MM")</f>
        <v/>
      </c>
      <c r="AK9" s="15">
        <f>TEXT(MOD(TIMEVALUE(AK5)+9/1440,1),"HH:MM")</f>
        <v/>
      </c>
      <c r="AL9" s="15">
        <f>TEXT(MOD(TIMEVALUE(AL5)+9/1440,1),"HH:MM")</f>
        <v/>
      </c>
      <c r="AM9" s="15">
        <f>TEXT(MOD(TIMEVALUE(AM5)+9/1440,1),"HH:MM")</f>
        <v/>
      </c>
    </row>
    <row r="10" ht="16.5" customHeight="1" s="26">
      <c r="A10" s="22" t="inlineStr">
        <is>
          <t>Antonio Devoto</t>
        </is>
      </c>
      <c r="B10" s="13">
        <f>TEXT(MOD(TIMEVALUE(B5)+11/1440,1),"HH:MM")</f>
        <v/>
      </c>
      <c r="C10" s="13">
        <f>TEXT(MOD(TIMEVALUE(C5)+11/1440,1),"HH:MM")</f>
        <v/>
      </c>
      <c r="D10" s="13">
        <f>TEXT(MOD(TIMEVALUE(D5)+11/1440,1),"HH:MM")</f>
        <v/>
      </c>
      <c r="E10" s="13">
        <f>TEXT(MOD(TIMEVALUE(E5)+11/1440,1),"HH:MM")</f>
        <v/>
      </c>
      <c r="F10" s="13">
        <f>TEXT(MOD(TIMEVALUE(F5)+11/1440,1),"HH:MM")</f>
        <v/>
      </c>
      <c r="G10" s="13">
        <f>TEXT(MOD(TIMEVALUE(G5)+11/1440,1),"HH:MM")</f>
        <v/>
      </c>
      <c r="H10" s="13">
        <f>TEXT(MOD(TIMEVALUE(H5)+11/1440,1),"HH:MM")</f>
        <v/>
      </c>
      <c r="I10" s="13">
        <f>TEXT(MOD(TIMEVALUE(I5)+11/1440,1),"HH:MM")</f>
        <v/>
      </c>
      <c r="J10" s="13">
        <f>TEXT(MOD(TIMEVALUE(J5)+11/1440,1),"HH:MM")</f>
        <v/>
      </c>
      <c r="K10" s="13">
        <f>TEXT(MOD(TIMEVALUE(K5)+11/1440,1),"HH:MM")</f>
        <v/>
      </c>
      <c r="L10" s="13">
        <f>TEXT(MOD(TIMEVALUE(L5)+11/1440,1),"HH:MM")</f>
        <v/>
      </c>
      <c r="M10" s="13">
        <f>TEXT(MOD(TIMEVALUE(M5)+11/1440,1),"HH:MM")</f>
        <v/>
      </c>
      <c r="N10" s="13">
        <f>TEXT(MOD(TIMEVALUE(N5)+11/1440,1),"HH:MM")</f>
        <v/>
      </c>
      <c r="O10" s="13">
        <f>TEXT(MOD(TIMEVALUE(O5)+11/1440,1),"HH:MM")</f>
        <v/>
      </c>
      <c r="P10" s="13">
        <f>TEXT(MOD(TIMEVALUE(P5)+11/1440,1),"HH:MM")</f>
        <v/>
      </c>
      <c r="Q10" s="13">
        <f>TEXT(MOD(TIMEVALUE(Q5)+11/1440,1),"HH:MM")</f>
        <v/>
      </c>
      <c r="R10" s="13">
        <f>TEXT(MOD(TIMEVALUE(R5)+11/1440,1),"HH:MM")</f>
        <v/>
      </c>
      <c r="S10" s="13">
        <f>TEXT(MOD(TIMEVALUE(S5)+11/1440,1),"HH:MM")</f>
        <v/>
      </c>
      <c r="T10" s="13">
        <f>TEXT(MOD(TIMEVALUE(T5)+11/1440,1),"HH:MM")</f>
        <v/>
      </c>
      <c r="U10" s="13">
        <f>TEXT(MOD(TIMEVALUE(U5)+11/1440,1),"HH:MM")</f>
        <v/>
      </c>
      <c r="V10" s="13">
        <f>TEXT(MOD(TIMEVALUE(V5)+11/1440,1),"HH:MM")</f>
        <v/>
      </c>
      <c r="W10" s="13">
        <f>TEXT(MOD(TIMEVALUE(W5)+11/1440,1),"HH:MM")</f>
        <v/>
      </c>
      <c r="X10" s="13">
        <f>TEXT(MOD(TIMEVALUE(X5)+11/1440,1),"HH:MM")</f>
        <v/>
      </c>
      <c r="Y10" s="13">
        <f>TEXT(MOD(TIMEVALUE(Y5)+11/1440,1),"HH:MM")</f>
        <v/>
      </c>
      <c r="Z10" s="13">
        <f>TEXT(MOD(TIMEVALUE(Z5)+11/1440,1),"HH:MM")</f>
        <v/>
      </c>
      <c r="AA10" s="13">
        <f>TEXT(MOD(TIMEVALUE(AA5)+11/1440,1),"HH:MM")</f>
        <v/>
      </c>
      <c r="AB10" s="13">
        <f>TEXT(MOD(TIMEVALUE(AB5)+11/1440,1),"HH:MM")</f>
        <v/>
      </c>
      <c r="AC10" s="13">
        <f>TEXT(MOD(TIMEVALUE(AC5)+11/1440,1),"HH:MM")</f>
        <v/>
      </c>
      <c r="AD10" s="13">
        <f>TEXT(MOD(TIMEVALUE(AD5)+11/1440,1),"HH:MM")</f>
        <v/>
      </c>
      <c r="AE10" s="13">
        <f>TEXT(MOD(TIMEVALUE(AE5)+11/1440,1),"HH:MM")</f>
        <v/>
      </c>
      <c r="AF10" s="13">
        <f>TEXT(MOD(TIMEVALUE(AF5)+11/1440,1),"HH:MM")</f>
        <v/>
      </c>
      <c r="AG10" s="13">
        <f>TEXT(MOD(TIMEVALUE(AG5)+11/1440,1),"HH:MM")</f>
        <v/>
      </c>
      <c r="AH10" s="13">
        <f>TEXT(MOD(TIMEVALUE(AH5)+11/1440,1),"HH:MM")</f>
        <v/>
      </c>
      <c r="AI10" s="13">
        <f>TEXT(MOD(TIMEVALUE(AI5)+11/1440,1),"HH:MM")</f>
        <v/>
      </c>
      <c r="AJ10" s="13">
        <f>TEXT(MOD(TIMEVALUE(AJ5)+11/1440,1),"HH:MM")</f>
        <v/>
      </c>
      <c r="AK10" s="13">
        <f>TEXT(MOD(TIMEVALUE(AK5)+11/1440,1),"HH:MM")</f>
        <v/>
      </c>
      <c r="AL10" s="13">
        <f>TEXT(MOD(TIMEVALUE(AL5)+11/1440,1),"HH:MM")</f>
        <v/>
      </c>
      <c r="AM10" s="13">
        <f>TEXT(MOD(TIMEVALUE(AM5)+11/1440,1),"HH:MM")</f>
        <v/>
      </c>
    </row>
    <row r="11" ht="16.5" customHeight="1" s="26">
      <c r="A11" s="23" t="inlineStr">
        <is>
          <t>Cnel. Fco. Lynch</t>
        </is>
      </c>
      <c r="B11" s="15">
        <f>TEXT(MOD(TIMEVALUE(B5)+13/1440,1),"HH:MM")</f>
        <v/>
      </c>
      <c r="C11" s="15">
        <f>TEXT(MOD(TIMEVALUE(C5)+13/1440,1),"HH:MM")</f>
        <v/>
      </c>
      <c r="D11" s="15">
        <f>TEXT(MOD(TIMEVALUE(D5)+13/1440,1),"HH:MM")</f>
        <v/>
      </c>
      <c r="E11" s="15">
        <f>TEXT(MOD(TIMEVALUE(E5)+13/1440,1),"HH:MM")</f>
        <v/>
      </c>
      <c r="F11" s="15">
        <f>TEXT(MOD(TIMEVALUE(F5)+13/1440,1),"HH:MM")</f>
        <v/>
      </c>
      <c r="G11" s="15">
        <f>TEXT(MOD(TIMEVALUE(G5)+13/1440,1),"HH:MM")</f>
        <v/>
      </c>
      <c r="H11" s="15">
        <f>TEXT(MOD(TIMEVALUE(H5)+13/1440,1),"HH:MM")</f>
        <v/>
      </c>
      <c r="I11" s="15">
        <f>TEXT(MOD(TIMEVALUE(I5)+13/1440,1),"HH:MM")</f>
        <v/>
      </c>
      <c r="J11" s="15">
        <f>TEXT(MOD(TIMEVALUE(J5)+13/1440,1),"HH:MM")</f>
        <v/>
      </c>
      <c r="K11" s="15">
        <f>TEXT(MOD(TIMEVALUE(K5)+13/1440,1),"HH:MM")</f>
        <v/>
      </c>
      <c r="L11" s="15">
        <f>TEXT(MOD(TIMEVALUE(L5)+13/1440,1),"HH:MM")</f>
        <v/>
      </c>
      <c r="M11" s="15">
        <f>TEXT(MOD(TIMEVALUE(M5)+13/1440,1),"HH:MM")</f>
        <v/>
      </c>
      <c r="N11" s="15">
        <f>TEXT(MOD(TIMEVALUE(N5)+13/1440,1),"HH:MM")</f>
        <v/>
      </c>
      <c r="O11" s="15">
        <f>TEXT(MOD(TIMEVALUE(O5)+13/1440,1),"HH:MM")</f>
        <v/>
      </c>
      <c r="P11" s="15">
        <f>TEXT(MOD(TIMEVALUE(P5)+13/1440,1),"HH:MM")</f>
        <v/>
      </c>
      <c r="Q11" s="15">
        <f>TEXT(MOD(TIMEVALUE(Q5)+13/1440,1),"HH:MM")</f>
        <v/>
      </c>
      <c r="R11" s="15">
        <f>TEXT(MOD(TIMEVALUE(R5)+13/1440,1),"HH:MM")</f>
        <v/>
      </c>
      <c r="S11" s="15">
        <f>TEXT(MOD(TIMEVALUE(S5)+13/1440,1),"HH:MM")</f>
        <v/>
      </c>
      <c r="T11" s="15">
        <f>TEXT(MOD(TIMEVALUE(T5)+13/1440,1),"HH:MM")</f>
        <v/>
      </c>
      <c r="U11" s="15">
        <f>TEXT(MOD(TIMEVALUE(U5)+13/1440,1),"HH:MM")</f>
        <v/>
      </c>
      <c r="V11" s="15">
        <f>TEXT(MOD(TIMEVALUE(V5)+13/1440,1),"HH:MM")</f>
        <v/>
      </c>
      <c r="W11" s="15">
        <f>TEXT(MOD(TIMEVALUE(W5)+13/1440,1),"HH:MM")</f>
        <v/>
      </c>
      <c r="X11" s="15">
        <f>TEXT(MOD(TIMEVALUE(X5)+13/1440,1),"HH:MM")</f>
        <v/>
      </c>
      <c r="Y11" s="15">
        <f>TEXT(MOD(TIMEVALUE(Y5)+13/1440,1),"HH:MM")</f>
        <v/>
      </c>
      <c r="Z11" s="15">
        <f>TEXT(MOD(TIMEVALUE(Z5)+13/1440,1),"HH:MM")</f>
        <v/>
      </c>
      <c r="AA11" s="15">
        <f>TEXT(MOD(TIMEVALUE(AA5)+13/1440,1),"HH:MM")</f>
        <v/>
      </c>
      <c r="AB11" s="15">
        <f>TEXT(MOD(TIMEVALUE(AB5)+13/1440,1),"HH:MM")</f>
        <v/>
      </c>
      <c r="AC11" s="15">
        <f>TEXT(MOD(TIMEVALUE(AC5)+13/1440,1),"HH:MM")</f>
        <v/>
      </c>
      <c r="AD11" s="15">
        <f>TEXT(MOD(TIMEVALUE(AD5)+13/1440,1),"HH:MM")</f>
        <v/>
      </c>
      <c r="AE11" s="15">
        <f>TEXT(MOD(TIMEVALUE(AE5)+13/1440,1),"HH:MM")</f>
        <v/>
      </c>
      <c r="AF11" s="15">
        <f>TEXT(MOD(TIMEVALUE(AF5)+13/1440,1),"HH:MM")</f>
        <v/>
      </c>
      <c r="AG11" s="15">
        <f>TEXT(MOD(TIMEVALUE(AG5)+13/1440,1),"HH:MM")</f>
        <v/>
      </c>
      <c r="AH11" s="15">
        <f>TEXT(MOD(TIMEVALUE(AH5)+13/1440,1),"HH:MM")</f>
        <v/>
      </c>
      <c r="AI11" s="15">
        <f>TEXT(MOD(TIMEVALUE(AI5)+13/1440,1),"HH:MM")</f>
        <v/>
      </c>
      <c r="AJ11" s="15">
        <f>TEXT(MOD(TIMEVALUE(AJ5)+13/1440,1),"HH:MM")</f>
        <v/>
      </c>
      <c r="AK11" s="15">
        <f>TEXT(MOD(TIMEVALUE(AK5)+13/1440,1),"HH:MM")</f>
        <v/>
      </c>
      <c r="AL11" s="15">
        <f>TEXT(MOD(TIMEVALUE(AL5)+13/1440,1),"HH:MM")</f>
        <v/>
      </c>
      <c r="AM11" s="15">
        <f>TEXT(MOD(TIMEVALUE(AM5)+13/1440,1),"HH:MM")</f>
        <v/>
      </c>
    </row>
    <row r="12" ht="16.5" customHeight="1" s="26">
      <c r="A12" s="22" t="inlineStr">
        <is>
          <t>Fernández Moreno</t>
        </is>
      </c>
      <c r="B12" s="13">
        <f>TEXT(MOD(TIMEVALUE(B5)+15/1440,1),"HH:MM")</f>
        <v/>
      </c>
      <c r="C12" s="13">
        <f>TEXT(MOD(TIMEVALUE(C5)+15/1440,1),"HH:MM")</f>
        <v/>
      </c>
      <c r="D12" s="13">
        <f>TEXT(MOD(TIMEVALUE(D5)+15/1440,1),"HH:MM")</f>
        <v/>
      </c>
      <c r="E12" s="13">
        <f>TEXT(MOD(TIMEVALUE(E5)+15/1440,1),"HH:MM")</f>
        <v/>
      </c>
      <c r="F12" s="13">
        <f>TEXT(MOD(TIMEVALUE(F5)+15/1440,1),"HH:MM")</f>
        <v/>
      </c>
      <c r="G12" s="13">
        <f>TEXT(MOD(TIMEVALUE(G5)+15/1440,1),"HH:MM")</f>
        <v/>
      </c>
      <c r="H12" s="13">
        <f>TEXT(MOD(TIMEVALUE(H5)+15/1440,1),"HH:MM")</f>
        <v/>
      </c>
      <c r="I12" s="13">
        <f>TEXT(MOD(TIMEVALUE(I5)+15/1440,1),"HH:MM")</f>
        <v/>
      </c>
      <c r="J12" s="13">
        <f>TEXT(MOD(TIMEVALUE(J5)+15/1440,1),"HH:MM")</f>
        <v/>
      </c>
      <c r="K12" s="13">
        <f>TEXT(MOD(TIMEVALUE(K5)+15/1440,1),"HH:MM")</f>
        <v/>
      </c>
      <c r="L12" s="13">
        <f>TEXT(MOD(TIMEVALUE(L5)+15/1440,1),"HH:MM")</f>
        <v/>
      </c>
      <c r="M12" s="13">
        <f>TEXT(MOD(TIMEVALUE(M5)+15/1440,1),"HH:MM")</f>
        <v/>
      </c>
      <c r="N12" s="13">
        <f>TEXT(MOD(TIMEVALUE(N5)+15/1440,1),"HH:MM")</f>
        <v/>
      </c>
      <c r="O12" s="13">
        <f>TEXT(MOD(TIMEVALUE(O5)+15/1440,1),"HH:MM")</f>
        <v/>
      </c>
      <c r="P12" s="13">
        <f>TEXT(MOD(TIMEVALUE(P5)+15/1440,1),"HH:MM")</f>
        <v/>
      </c>
      <c r="Q12" s="13">
        <f>TEXT(MOD(TIMEVALUE(Q5)+15/1440,1),"HH:MM")</f>
        <v/>
      </c>
      <c r="R12" s="13">
        <f>TEXT(MOD(TIMEVALUE(R5)+15/1440,1),"HH:MM")</f>
        <v/>
      </c>
      <c r="S12" s="13">
        <f>TEXT(MOD(TIMEVALUE(S5)+15/1440,1),"HH:MM")</f>
        <v/>
      </c>
      <c r="T12" s="13">
        <f>TEXT(MOD(TIMEVALUE(T5)+15/1440,1),"HH:MM")</f>
        <v/>
      </c>
      <c r="U12" s="13">
        <f>TEXT(MOD(TIMEVALUE(U5)+15/1440,1),"HH:MM")</f>
        <v/>
      </c>
      <c r="V12" s="13">
        <f>TEXT(MOD(TIMEVALUE(V5)+15/1440,1),"HH:MM")</f>
        <v/>
      </c>
      <c r="W12" s="13">
        <f>TEXT(MOD(TIMEVALUE(W5)+15/1440,1),"HH:MM")</f>
        <v/>
      </c>
      <c r="X12" s="13">
        <f>TEXT(MOD(TIMEVALUE(X5)+15/1440,1),"HH:MM")</f>
        <v/>
      </c>
      <c r="Y12" s="13">
        <f>TEXT(MOD(TIMEVALUE(Y5)+15/1440,1),"HH:MM")</f>
        <v/>
      </c>
      <c r="Z12" s="13">
        <f>TEXT(MOD(TIMEVALUE(Z5)+15/1440,1),"HH:MM")</f>
        <v/>
      </c>
      <c r="AA12" s="13">
        <f>TEXT(MOD(TIMEVALUE(AA5)+15/1440,1),"HH:MM")</f>
        <v/>
      </c>
      <c r="AB12" s="13">
        <f>TEXT(MOD(TIMEVALUE(AB5)+15/1440,1),"HH:MM")</f>
        <v/>
      </c>
      <c r="AC12" s="13">
        <f>TEXT(MOD(TIMEVALUE(AC5)+15/1440,1),"HH:MM")</f>
        <v/>
      </c>
      <c r="AD12" s="13">
        <f>TEXT(MOD(TIMEVALUE(AD5)+15/1440,1),"HH:MM")</f>
        <v/>
      </c>
      <c r="AE12" s="13">
        <f>TEXT(MOD(TIMEVALUE(AE5)+15/1440,1),"HH:MM")</f>
        <v/>
      </c>
      <c r="AF12" s="13">
        <f>TEXT(MOD(TIMEVALUE(AF5)+15/1440,1),"HH:MM")</f>
        <v/>
      </c>
      <c r="AG12" s="13">
        <f>TEXT(MOD(TIMEVALUE(AG5)+15/1440,1),"HH:MM")</f>
        <v/>
      </c>
      <c r="AH12" s="13">
        <f>TEXT(MOD(TIMEVALUE(AH5)+15/1440,1),"HH:MM")</f>
        <v/>
      </c>
      <c r="AI12" s="13">
        <f>TEXT(MOD(TIMEVALUE(AI5)+15/1440,1),"HH:MM")</f>
        <v/>
      </c>
      <c r="AJ12" s="13">
        <f>TEXT(MOD(TIMEVALUE(AJ5)+15/1440,1),"HH:MM")</f>
        <v/>
      </c>
      <c r="AK12" s="13">
        <f>TEXT(MOD(TIMEVALUE(AK5)+15/1440,1),"HH:MM")</f>
        <v/>
      </c>
      <c r="AL12" s="13">
        <f>TEXT(MOD(TIMEVALUE(AL5)+15/1440,1),"HH:MM")</f>
        <v/>
      </c>
      <c r="AM12" s="13">
        <f>TEXT(MOD(TIMEVALUE(AM5)+15/1440,1),"HH:MM")</f>
        <v/>
      </c>
    </row>
    <row r="13" ht="16.5" customHeight="1" s="26">
      <c r="A13" s="23" t="inlineStr">
        <is>
          <t>Lourdes</t>
        </is>
      </c>
      <c r="B13" s="15">
        <f>TEXT(MOD(TIMEVALUE(B5)+17/1440,1),"HH:MM")</f>
        <v/>
      </c>
      <c r="C13" s="15">
        <f>TEXT(MOD(TIMEVALUE(C5)+17/1440,1),"HH:MM")</f>
        <v/>
      </c>
      <c r="D13" s="15">
        <f>TEXT(MOD(TIMEVALUE(D5)+17/1440,1),"HH:MM")</f>
        <v/>
      </c>
      <c r="E13" s="15">
        <f>TEXT(MOD(TIMEVALUE(E5)+17/1440,1),"HH:MM")</f>
        <v/>
      </c>
      <c r="F13" s="15">
        <f>TEXT(MOD(TIMEVALUE(F5)+17/1440,1),"HH:MM")</f>
        <v/>
      </c>
      <c r="G13" s="15">
        <f>TEXT(MOD(TIMEVALUE(G5)+17/1440,1),"HH:MM")</f>
        <v/>
      </c>
      <c r="H13" s="15">
        <f>TEXT(MOD(TIMEVALUE(H5)+17/1440,1),"HH:MM")</f>
        <v/>
      </c>
      <c r="I13" s="15">
        <f>TEXT(MOD(TIMEVALUE(I5)+17/1440,1),"HH:MM")</f>
        <v/>
      </c>
      <c r="J13" s="15">
        <f>TEXT(MOD(TIMEVALUE(J5)+17/1440,1),"HH:MM")</f>
        <v/>
      </c>
      <c r="K13" s="15">
        <f>TEXT(MOD(TIMEVALUE(K5)+17/1440,1),"HH:MM")</f>
        <v/>
      </c>
      <c r="L13" s="15">
        <f>TEXT(MOD(TIMEVALUE(L5)+17/1440,1),"HH:MM")</f>
        <v/>
      </c>
      <c r="M13" s="15">
        <f>TEXT(MOD(TIMEVALUE(M5)+17/1440,1),"HH:MM")</f>
        <v/>
      </c>
      <c r="N13" s="15">
        <f>TEXT(MOD(TIMEVALUE(N5)+17/1440,1),"HH:MM")</f>
        <v/>
      </c>
      <c r="O13" s="15">
        <f>TEXT(MOD(TIMEVALUE(O5)+17/1440,1),"HH:MM")</f>
        <v/>
      </c>
      <c r="P13" s="15">
        <f>TEXT(MOD(TIMEVALUE(P5)+17/1440,1),"HH:MM")</f>
        <v/>
      </c>
      <c r="Q13" s="15">
        <f>TEXT(MOD(TIMEVALUE(Q5)+17/1440,1),"HH:MM")</f>
        <v/>
      </c>
      <c r="R13" s="15">
        <f>TEXT(MOD(TIMEVALUE(R5)+17/1440,1),"HH:MM")</f>
        <v/>
      </c>
      <c r="S13" s="15">
        <f>TEXT(MOD(TIMEVALUE(S5)+17/1440,1),"HH:MM")</f>
        <v/>
      </c>
      <c r="T13" s="15">
        <f>TEXT(MOD(TIMEVALUE(T5)+17/1440,1),"HH:MM")</f>
        <v/>
      </c>
      <c r="U13" s="15">
        <f>TEXT(MOD(TIMEVALUE(U5)+17/1440,1),"HH:MM")</f>
        <v/>
      </c>
      <c r="V13" s="15">
        <f>TEXT(MOD(TIMEVALUE(V5)+17/1440,1),"HH:MM")</f>
        <v/>
      </c>
      <c r="W13" s="15">
        <f>TEXT(MOD(TIMEVALUE(W5)+17/1440,1),"HH:MM")</f>
        <v/>
      </c>
      <c r="X13" s="15">
        <f>TEXT(MOD(TIMEVALUE(X5)+17/1440,1),"HH:MM")</f>
        <v/>
      </c>
      <c r="Y13" s="15">
        <f>TEXT(MOD(TIMEVALUE(Y5)+17/1440,1),"HH:MM")</f>
        <v/>
      </c>
      <c r="Z13" s="15">
        <f>TEXT(MOD(TIMEVALUE(Z5)+17/1440,1),"HH:MM")</f>
        <v/>
      </c>
      <c r="AA13" s="15">
        <f>TEXT(MOD(TIMEVALUE(AA5)+17/1440,1),"HH:MM")</f>
        <v/>
      </c>
      <c r="AB13" s="15">
        <f>TEXT(MOD(TIMEVALUE(AB5)+17/1440,1),"HH:MM")</f>
        <v/>
      </c>
      <c r="AC13" s="15">
        <f>TEXT(MOD(TIMEVALUE(AC5)+17/1440,1),"HH:MM")</f>
        <v/>
      </c>
      <c r="AD13" s="15">
        <f>TEXT(MOD(TIMEVALUE(AD5)+17/1440,1),"HH:MM")</f>
        <v/>
      </c>
      <c r="AE13" s="15">
        <f>TEXT(MOD(TIMEVALUE(AE5)+17/1440,1),"HH:MM")</f>
        <v/>
      </c>
      <c r="AF13" s="15">
        <f>TEXT(MOD(TIMEVALUE(AF5)+17/1440,1),"HH:MM")</f>
        <v/>
      </c>
      <c r="AG13" s="15">
        <f>TEXT(MOD(TIMEVALUE(AG5)+17/1440,1),"HH:MM")</f>
        <v/>
      </c>
      <c r="AH13" s="15">
        <f>TEXT(MOD(TIMEVALUE(AH5)+17/1440,1),"HH:MM")</f>
        <v/>
      </c>
      <c r="AI13" s="15">
        <f>TEXT(MOD(TIMEVALUE(AI5)+17/1440,1),"HH:MM")</f>
        <v/>
      </c>
      <c r="AJ13" s="15">
        <f>TEXT(MOD(TIMEVALUE(AJ5)+17/1440,1),"HH:MM")</f>
        <v/>
      </c>
      <c r="AK13" s="15">
        <f>TEXT(MOD(TIMEVALUE(AK5)+17/1440,1),"HH:MM")</f>
        <v/>
      </c>
      <c r="AL13" s="15">
        <f>TEXT(MOD(TIMEVALUE(AL5)+17/1440,1),"HH:MM")</f>
        <v/>
      </c>
      <c r="AM13" s="15">
        <f>TEXT(MOD(TIMEVALUE(AM5)+17/1440,1),"HH:MM")</f>
        <v/>
      </c>
    </row>
    <row r="14" ht="16.5" customHeight="1" s="26">
      <c r="A14" s="22" t="inlineStr">
        <is>
          <t>Tropezón</t>
        </is>
      </c>
      <c r="B14" s="13">
        <f>TEXT(MOD(TIMEVALUE(B5)+19/1440,1),"HH:MM")</f>
        <v/>
      </c>
      <c r="C14" s="13">
        <f>TEXT(MOD(TIMEVALUE(C5)+19/1440,1),"HH:MM")</f>
        <v/>
      </c>
      <c r="D14" s="13">
        <f>TEXT(MOD(TIMEVALUE(D5)+19/1440,1),"HH:MM")</f>
        <v/>
      </c>
      <c r="E14" s="13">
        <f>TEXT(MOD(TIMEVALUE(E5)+19/1440,1),"HH:MM")</f>
        <v/>
      </c>
      <c r="F14" s="13">
        <f>TEXT(MOD(TIMEVALUE(F5)+19/1440,1),"HH:MM")</f>
        <v/>
      </c>
      <c r="G14" s="13">
        <f>TEXT(MOD(TIMEVALUE(G5)+19/1440,1),"HH:MM")</f>
        <v/>
      </c>
      <c r="H14" s="13">
        <f>TEXT(MOD(TIMEVALUE(H5)+19/1440,1),"HH:MM")</f>
        <v/>
      </c>
      <c r="I14" s="13">
        <f>TEXT(MOD(TIMEVALUE(I5)+19/1440,1),"HH:MM")</f>
        <v/>
      </c>
      <c r="J14" s="13">
        <f>TEXT(MOD(TIMEVALUE(J5)+19/1440,1),"HH:MM")</f>
        <v/>
      </c>
      <c r="K14" s="13">
        <f>TEXT(MOD(TIMEVALUE(K5)+19/1440,1),"HH:MM")</f>
        <v/>
      </c>
      <c r="L14" s="13">
        <f>TEXT(MOD(TIMEVALUE(L5)+19/1440,1),"HH:MM")</f>
        <v/>
      </c>
      <c r="M14" s="13">
        <f>TEXT(MOD(TIMEVALUE(M5)+19/1440,1),"HH:MM")</f>
        <v/>
      </c>
      <c r="N14" s="13">
        <f>TEXT(MOD(TIMEVALUE(N5)+19/1440,1),"HH:MM")</f>
        <v/>
      </c>
      <c r="O14" s="13">
        <f>TEXT(MOD(TIMEVALUE(O5)+19/1440,1),"HH:MM")</f>
        <v/>
      </c>
      <c r="P14" s="13">
        <f>TEXT(MOD(TIMEVALUE(P5)+19/1440,1),"HH:MM")</f>
        <v/>
      </c>
      <c r="Q14" s="13">
        <f>TEXT(MOD(TIMEVALUE(Q5)+19/1440,1),"HH:MM")</f>
        <v/>
      </c>
      <c r="R14" s="13">
        <f>TEXT(MOD(TIMEVALUE(R5)+19/1440,1),"HH:MM")</f>
        <v/>
      </c>
      <c r="S14" s="13">
        <f>TEXT(MOD(TIMEVALUE(S5)+19/1440,1),"HH:MM")</f>
        <v/>
      </c>
      <c r="T14" s="13">
        <f>TEXT(MOD(TIMEVALUE(T5)+19/1440,1),"HH:MM")</f>
        <v/>
      </c>
      <c r="U14" s="13">
        <f>TEXT(MOD(TIMEVALUE(U5)+19/1440,1),"HH:MM")</f>
        <v/>
      </c>
      <c r="V14" s="13">
        <f>TEXT(MOD(TIMEVALUE(V5)+19/1440,1),"HH:MM")</f>
        <v/>
      </c>
      <c r="W14" s="13">
        <f>TEXT(MOD(TIMEVALUE(W5)+19/1440,1),"HH:MM")</f>
        <v/>
      </c>
      <c r="X14" s="13">
        <f>TEXT(MOD(TIMEVALUE(X5)+19/1440,1),"HH:MM")</f>
        <v/>
      </c>
      <c r="Y14" s="13">
        <f>TEXT(MOD(TIMEVALUE(Y5)+19/1440,1),"HH:MM")</f>
        <v/>
      </c>
      <c r="Z14" s="13">
        <f>TEXT(MOD(TIMEVALUE(Z5)+19/1440,1),"HH:MM")</f>
        <v/>
      </c>
      <c r="AA14" s="13">
        <f>TEXT(MOD(TIMEVALUE(AA5)+19/1440,1),"HH:MM")</f>
        <v/>
      </c>
      <c r="AB14" s="13">
        <f>TEXT(MOD(TIMEVALUE(AB5)+19/1440,1),"HH:MM")</f>
        <v/>
      </c>
      <c r="AC14" s="13">
        <f>TEXT(MOD(TIMEVALUE(AC5)+19/1440,1),"HH:MM")</f>
        <v/>
      </c>
      <c r="AD14" s="13">
        <f>TEXT(MOD(TIMEVALUE(AD5)+19/1440,1),"HH:MM")</f>
        <v/>
      </c>
      <c r="AE14" s="13">
        <f>TEXT(MOD(TIMEVALUE(AE5)+19/1440,1),"HH:MM")</f>
        <v/>
      </c>
      <c r="AF14" s="13">
        <f>TEXT(MOD(TIMEVALUE(AF5)+19/1440,1),"HH:MM")</f>
        <v/>
      </c>
      <c r="AG14" s="13">
        <f>TEXT(MOD(TIMEVALUE(AG5)+19/1440,1),"HH:MM")</f>
        <v/>
      </c>
      <c r="AH14" s="13">
        <f>TEXT(MOD(TIMEVALUE(AH5)+19/1440,1),"HH:MM")</f>
        <v/>
      </c>
      <c r="AI14" s="13">
        <f>TEXT(MOD(TIMEVALUE(AI5)+19/1440,1),"HH:MM")</f>
        <v/>
      </c>
      <c r="AJ14" s="13">
        <f>TEXT(MOD(TIMEVALUE(AJ5)+19/1440,1),"HH:MM")</f>
        <v/>
      </c>
      <c r="AK14" s="13">
        <f>TEXT(MOD(TIMEVALUE(AK5)+19/1440,1),"HH:MM")</f>
        <v/>
      </c>
      <c r="AL14" s="13">
        <f>TEXT(MOD(TIMEVALUE(AL5)+19/1440,1),"HH:MM")</f>
        <v/>
      </c>
      <c r="AM14" s="13">
        <f>TEXT(MOD(TIMEVALUE(AM5)+19/1440,1),"HH:MM")</f>
        <v/>
      </c>
    </row>
    <row r="15" ht="16.5" customHeight="1" s="26">
      <c r="A15" s="23" t="inlineStr">
        <is>
          <t>José M. Bosch</t>
        </is>
      </c>
      <c r="B15" s="15">
        <f>TEXT(MOD(TIMEVALUE(B5)+21/1440,1),"HH:MM")</f>
        <v/>
      </c>
      <c r="C15" s="15">
        <f>TEXT(MOD(TIMEVALUE(C5)+21/1440,1),"HH:MM")</f>
        <v/>
      </c>
      <c r="D15" s="15">
        <f>TEXT(MOD(TIMEVALUE(D5)+21/1440,1),"HH:MM")</f>
        <v/>
      </c>
      <c r="E15" s="15">
        <f>TEXT(MOD(TIMEVALUE(E5)+21/1440,1),"HH:MM")</f>
        <v/>
      </c>
      <c r="F15" s="15">
        <f>TEXT(MOD(TIMEVALUE(F5)+21/1440,1),"HH:MM")</f>
        <v/>
      </c>
      <c r="G15" s="15">
        <f>TEXT(MOD(TIMEVALUE(G5)+21/1440,1),"HH:MM")</f>
        <v/>
      </c>
      <c r="H15" s="15">
        <f>TEXT(MOD(TIMEVALUE(H5)+21/1440,1),"HH:MM")</f>
        <v/>
      </c>
      <c r="I15" s="15">
        <f>TEXT(MOD(TIMEVALUE(I5)+21/1440,1),"HH:MM")</f>
        <v/>
      </c>
      <c r="J15" s="15">
        <f>TEXT(MOD(TIMEVALUE(J5)+21/1440,1),"HH:MM")</f>
        <v/>
      </c>
      <c r="K15" s="15">
        <f>TEXT(MOD(TIMEVALUE(K5)+21/1440,1),"HH:MM")</f>
        <v/>
      </c>
      <c r="L15" s="15">
        <f>TEXT(MOD(TIMEVALUE(L5)+21/1440,1),"HH:MM")</f>
        <v/>
      </c>
      <c r="M15" s="15">
        <f>TEXT(MOD(TIMEVALUE(M5)+21/1440,1),"HH:MM")</f>
        <v/>
      </c>
      <c r="N15" s="15">
        <f>TEXT(MOD(TIMEVALUE(N5)+21/1440,1),"HH:MM")</f>
        <v/>
      </c>
      <c r="O15" s="15">
        <f>TEXT(MOD(TIMEVALUE(O5)+21/1440,1),"HH:MM")</f>
        <v/>
      </c>
      <c r="P15" s="15">
        <f>TEXT(MOD(TIMEVALUE(P5)+21/1440,1),"HH:MM")</f>
        <v/>
      </c>
      <c r="Q15" s="15">
        <f>TEXT(MOD(TIMEVALUE(Q5)+21/1440,1),"HH:MM")</f>
        <v/>
      </c>
      <c r="R15" s="15">
        <f>TEXT(MOD(TIMEVALUE(R5)+21/1440,1),"HH:MM")</f>
        <v/>
      </c>
      <c r="S15" s="15">
        <f>TEXT(MOD(TIMEVALUE(S5)+21/1440,1),"HH:MM")</f>
        <v/>
      </c>
      <c r="T15" s="15">
        <f>TEXT(MOD(TIMEVALUE(T5)+21/1440,1),"HH:MM")</f>
        <v/>
      </c>
      <c r="U15" s="15">
        <f>TEXT(MOD(TIMEVALUE(U5)+21/1440,1),"HH:MM")</f>
        <v/>
      </c>
      <c r="V15" s="15">
        <f>TEXT(MOD(TIMEVALUE(V5)+21/1440,1),"HH:MM")</f>
        <v/>
      </c>
      <c r="W15" s="15">
        <f>TEXT(MOD(TIMEVALUE(W5)+21/1440,1),"HH:MM")</f>
        <v/>
      </c>
      <c r="X15" s="15">
        <f>TEXT(MOD(TIMEVALUE(X5)+21/1440,1),"HH:MM")</f>
        <v/>
      </c>
      <c r="Y15" s="15">
        <f>TEXT(MOD(TIMEVALUE(Y5)+21/1440,1),"HH:MM")</f>
        <v/>
      </c>
      <c r="Z15" s="15">
        <f>TEXT(MOD(TIMEVALUE(Z5)+21/1440,1),"HH:MM")</f>
        <v/>
      </c>
      <c r="AA15" s="15">
        <f>TEXT(MOD(TIMEVALUE(AA5)+21/1440,1),"HH:MM")</f>
        <v/>
      </c>
      <c r="AB15" s="15">
        <f>TEXT(MOD(TIMEVALUE(AB5)+21/1440,1),"HH:MM")</f>
        <v/>
      </c>
      <c r="AC15" s="15">
        <f>TEXT(MOD(TIMEVALUE(AC5)+21/1440,1),"HH:MM")</f>
        <v/>
      </c>
      <c r="AD15" s="15">
        <f>TEXT(MOD(TIMEVALUE(AD5)+21/1440,1),"HH:MM")</f>
        <v/>
      </c>
      <c r="AE15" s="15">
        <f>TEXT(MOD(TIMEVALUE(AE5)+21/1440,1),"HH:MM")</f>
        <v/>
      </c>
      <c r="AF15" s="15">
        <f>TEXT(MOD(TIMEVALUE(AF5)+21/1440,1),"HH:MM")</f>
        <v/>
      </c>
      <c r="AG15" s="15">
        <f>TEXT(MOD(TIMEVALUE(AG5)+21/1440,1),"HH:MM")</f>
        <v/>
      </c>
      <c r="AH15" s="15">
        <f>TEXT(MOD(TIMEVALUE(AH5)+21/1440,1),"HH:MM")</f>
        <v/>
      </c>
      <c r="AI15" s="15">
        <f>TEXT(MOD(TIMEVALUE(AI5)+21/1440,1),"HH:MM")</f>
        <v/>
      </c>
      <c r="AJ15" s="15">
        <f>TEXT(MOD(TIMEVALUE(AJ5)+21/1440,1),"HH:MM")</f>
        <v/>
      </c>
      <c r="AK15" s="15">
        <f>TEXT(MOD(TIMEVALUE(AK5)+21/1440,1),"HH:MM")</f>
        <v/>
      </c>
      <c r="AL15" s="15">
        <f>TEXT(MOD(TIMEVALUE(AL5)+21/1440,1),"HH:MM")</f>
        <v/>
      </c>
      <c r="AM15" s="15">
        <f>TEXT(MOD(TIMEVALUE(AM5)+21/1440,1),"HH:MM")</f>
        <v/>
      </c>
    </row>
    <row r="16" ht="16.5" customHeight="1" s="26">
      <c r="A16" s="22" t="inlineStr">
        <is>
          <t>Martín Coronado</t>
        </is>
      </c>
      <c r="B16" s="13">
        <f>TEXT(MOD(TIMEVALUE(B5)+24/1440,1),"HH:MM")</f>
        <v/>
      </c>
      <c r="C16" s="13">
        <f>TEXT(MOD(TIMEVALUE(C5)+24/1440,1),"HH:MM")</f>
        <v/>
      </c>
      <c r="D16" s="13">
        <f>TEXT(MOD(TIMEVALUE(D5)+24/1440,1),"HH:MM")</f>
        <v/>
      </c>
      <c r="E16" s="13">
        <f>TEXT(MOD(TIMEVALUE(E5)+24/1440,1),"HH:MM")</f>
        <v/>
      </c>
      <c r="F16" s="13">
        <f>TEXT(MOD(TIMEVALUE(F5)+24/1440,1),"HH:MM")</f>
        <v/>
      </c>
      <c r="G16" s="13">
        <f>TEXT(MOD(TIMEVALUE(G5)+24/1440,1),"HH:MM")</f>
        <v/>
      </c>
      <c r="H16" s="13">
        <f>TEXT(MOD(TIMEVALUE(H5)+24/1440,1),"HH:MM")</f>
        <v/>
      </c>
      <c r="I16" s="13">
        <f>TEXT(MOD(TIMEVALUE(I5)+24/1440,1),"HH:MM")</f>
        <v/>
      </c>
      <c r="J16" s="13">
        <f>TEXT(MOD(TIMEVALUE(J5)+24/1440,1),"HH:MM")</f>
        <v/>
      </c>
      <c r="K16" s="13">
        <f>TEXT(MOD(TIMEVALUE(K5)+24/1440,1),"HH:MM")</f>
        <v/>
      </c>
      <c r="L16" s="13">
        <f>TEXT(MOD(TIMEVALUE(L5)+24/1440,1),"HH:MM")</f>
        <v/>
      </c>
      <c r="M16" s="13">
        <f>TEXT(MOD(TIMEVALUE(M5)+24/1440,1),"HH:MM")</f>
        <v/>
      </c>
      <c r="N16" s="13">
        <f>TEXT(MOD(TIMEVALUE(N5)+24/1440,1),"HH:MM")</f>
        <v/>
      </c>
      <c r="O16" s="13">
        <f>TEXT(MOD(TIMEVALUE(O5)+24/1440,1),"HH:MM")</f>
        <v/>
      </c>
      <c r="P16" s="13">
        <f>TEXT(MOD(TIMEVALUE(P5)+24/1440,1),"HH:MM")</f>
        <v/>
      </c>
      <c r="Q16" s="13">
        <f>TEXT(MOD(TIMEVALUE(Q5)+24/1440,1),"HH:MM")</f>
        <v/>
      </c>
      <c r="R16" s="13">
        <f>TEXT(MOD(TIMEVALUE(R5)+24/1440,1),"HH:MM")</f>
        <v/>
      </c>
      <c r="S16" s="13">
        <f>TEXT(MOD(TIMEVALUE(S5)+24/1440,1),"HH:MM")</f>
        <v/>
      </c>
      <c r="T16" s="13">
        <f>TEXT(MOD(TIMEVALUE(T5)+24/1440,1),"HH:MM")</f>
        <v/>
      </c>
      <c r="U16" s="13">
        <f>TEXT(MOD(TIMEVALUE(U5)+24/1440,1),"HH:MM")</f>
        <v/>
      </c>
      <c r="V16" s="13">
        <f>TEXT(MOD(TIMEVALUE(V5)+24/1440,1),"HH:MM")</f>
        <v/>
      </c>
      <c r="W16" s="13">
        <f>TEXT(MOD(TIMEVALUE(W5)+24/1440,1),"HH:MM")</f>
        <v/>
      </c>
      <c r="X16" s="13">
        <f>TEXT(MOD(TIMEVALUE(X5)+24/1440,1),"HH:MM")</f>
        <v/>
      </c>
      <c r="Y16" s="13">
        <f>TEXT(MOD(TIMEVALUE(Y5)+24/1440,1),"HH:MM")</f>
        <v/>
      </c>
      <c r="Z16" s="13">
        <f>TEXT(MOD(TIMEVALUE(Z5)+24/1440,1),"HH:MM")</f>
        <v/>
      </c>
      <c r="AA16" s="13">
        <f>TEXT(MOD(TIMEVALUE(AA5)+24/1440,1),"HH:MM")</f>
        <v/>
      </c>
      <c r="AB16" s="13">
        <f>TEXT(MOD(TIMEVALUE(AB5)+24/1440,1),"HH:MM")</f>
        <v/>
      </c>
      <c r="AC16" s="13">
        <f>TEXT(MOD(TIMEVALUE(AC5)+24/1440,1),"HH:MM")</f>
        <v/>
      </c>
      <c r="AD16" s="13">
        <f>TEXT(MOD(TIMEVALUE(AD5)+24/1440,1),"HH:MM")</f>
        <v/>
      </c>
      <c r="AE16" s="13">
        <f>TEXT(MOD(TIMEVALUE(AE5)+24/1440,1),"HH:MM")</f>
        <v/>
      </c>
      <c r="AF16" s="13">
        <f>TEXT(MOD(TIMEVALUE(AF5)+24/1440,1),"HH:MM")</f>
        <v/>
      </c>
      <c r="AG16" s="13">
        <f>TEXT(MOD(TIMEVALUE(AG5)+24/1440,1),"HH:MM")</f>
        <v/>
      </c>
      <c r="AH16" s="13">
        <f>TEXT(MOD(TIMEVALUE(AH5)+24/1440,1),"HH:MM")</f>
        <v/>
      </c>
      <c r="AI16" s="13">
        <f>TEXT(MOD(TIMEVALUE(AI5)+24/1440,1),"HH:MM")</f>
        <v/>
      </c>
      <c r="AJ16" s="13">
        <f>TEXT(MOD(TIMEVALUE(AJ5)+24/1440,1),"HH:MM")</f>
        <v/>
      </c>
      <c r="AK16" s="13">
        <f>TEXT(MOD(TIMEVALUE(AK5)+24/1440,1),"HH:MM")</f>
        <v/>
      </c>
      <c r="AL16" s="13">
        <f>TEXT(MOD(TIMEVALUE(AL5)+24/1440,1),"HH:MM")</f>
        <v/>
      </c>
      <c r="AM16" s="13">
        <f>TEXT(MOD(TIMEVALUE(AM5)+24/1440,1),"HH:MM")</f>
        <v/>
      </c>
    </row>
    <row r="17" ht="16.5" customHeight="1" s="26">
      <c r="A17" s="23" t="inlineStr">
        <is>
          <t>Pedro Podestá</t>
        </is>
      </c>
      <c r="B17" s="15">
        <f>TEXT(MOD(TIMEVALUE(B5)+26/1440,1),"HH:MM")</f>
        <v/>
      </c>
      <c r="C17" s="15">
        <f>TEXT(MOD(TIMEVALUE(C5)+26/1440,1),"HH:MM")</f>
        <v/>
      </c>
      <c r="D17" s="15">
        <f>TEXT(MOD(TIMEVALUE(D5)+26/1440,1),"HH:MM")</f>
        <v/>
      </c>
      <c r="E17" s="15">
        <f>TEXT(MOD(TIMEVALUE(E5)+26/1440,1),"HH:MM")</f>
        <v/>
      </c>
      <c r="F17" s="15">
        <f>TEXT(MOD(TIMEVALUE(F5)+26/1440,1),"HH:MM")</f>
        <v/>
      </c>
      <c r="G17" s="15">
        <f>TEXT(MOD(TIMEVALUE(G5)+26/1440,1),"HH:MM")</f>
        <v/>
      </c>
      <c r="H17" s="15">
        <f>TEXT(MOD(TIMEVALUE(H5)+26/1440,1),"HH:MM")</f>
        <v/>
      </c>
      <c r="I17" s="15">
        <f>TEXT(MOD(TIMEVALUE(I5)+26/1440,1),"HH:MM")</f>
        <v/>
      </c>
      <c r="J17" s="15">
        <f>TEXT(MOD(TIMEVALUE(J5)+26/1440,1),"HH:MM")</f>
        <v/>
      </c>
      <c r="K17" s="15">
        <f>TEXT(MOD(TIMEVALUE(K5)+26/1440,1),"HH:MM")</f>
        <v/>
      </c>
      <c r="L17" s="15">
        <f>TEXT(MOD(TIMEVALUE(L5)+26/1440,1),"HH:MM")</f>
        <v/>
      </c>
      <c r="M17" s="15">
        <f>TEXT(MOD(TIMEVALUE(M5)+26/1440,1),"HH:MM")</f>
        <v/>
      </c>
      <c r="N17" s="15">
        <f>TEXT(MOD(TIMEVALUE(N5)+26/1440,1),"HH:MM")</f>
        <v/>
      </c>
      <c r="O17" s="15">
        <f>TEXT(MOD(TIMEVALUE(O5)+26/1440,1),"HH:MM")</f>
        <v/>
      </c>
      <c r="P17" s="15">
        <f>TEXT(MOD(TIMEVALUE(P5)+26/1440,1),"HH:MM")</f>
        <v/>
      </c>
      <c r="Q17" s="15">
        <f>TEXT(MOD(TIMEVALUE(Q5)+26/1440,1),"HH:MM")</f>
        <v/>
      </c>
      <c r="R17" s="15">
        <f>TEXT(MOD(TIMEVALUE(R5)+26/1440,1),"HH:MM")</f>
        <v/>
      </c>
      <c r="S17" s="15">
        <f>TEXT(MOD(TIMEVALUE(S5)+26/1440,1),"HH:MM")</f>
        <v/>
      </c>
      <c r="T17" s="15">
        <f>TEXT(MOD(TIMEVALUE(T5)+26/1440,1),"HH:MM")</f>
        <v/>
      </c>
      <c r="U17" s="15">
        <f>TEXT(MOD(TIMEVALUE(U5)+26/1440,1),"HH:MM")</f>
        <v/>
      </c>
      <c r="V17" s="15">
        <f>TEXT(MOD(TIMEVALUE(V5)+26/1440,1),"HH:MM")</f>
        <v/>
      </c>
      <c r="W17" s="15">
        <f>TEXT(MOD(TIMEVALUE(W5)+26/1440,1),"HH:MM")</f>
        <v/>
      </c>
      <c r="X17" s="15">
        <f>TEXT(MOD(TIMEVALUE(X5)+26/1440,1),"HH:MM")</f>
        <v/>
      </c>
      <c r="Y17" s="15">
        <f>TEXT(MOD(TIMEVALUE(Y5)+26/1440,1),"HH:MM")</f>
        <v/>
      </c>
      <c r="Z17" s="15">
        <f>TEXT(MOD(TIMEVALUE(Z5)+26/1440,1),"HH:MM")</f>
        <v/>
      </c>
      <c r="AA17" s="15">
        <f>TEXT(MOD(TIMEVALUE(AA5)+26/1440,1),"HH:MM")</f>
        <v/>
      </c>
      <c r="AB17" s="15">
        <f>TEXT(MOD(TIMEVALUE(AB5)+26/1440,1),"HH:MM")</f>
        <v/>
      </c>
      <c r="AC17" s="15">
        <f>TEXT(MOD(TIMEVALUE(AC5)+26/1440,1),"HH:MM")</f>
        <v/>
      </c>
      <c r="AD17" s="15">
        <f>TEXT(MOD(TIMEVALUE(AD5)+26/1440,1),"HH:MM")</f>
        <v/>
      </c>
      <c r="AE17" s="15">
        <f>TEXT(MOD(TIMEVALUE(AE5)+26/1440,1),"HH:MM")</f>
        <v/>
      </c>
      <c r="AF17" s="15">
        <f>TEXT(MOD(TIMEVALUE(AF5)+26/1440,1),"HH:MM")</f>
        <v/>
      </c>
      <c r="AG17" s="15">
        <f>TEXT(MOD(TIMEVALUE(AG5)+26/1440,1),"HH:MM")</f>
        <v/>
      </c>
      <c r="AH17" s="15">
        <f>TEXT(MOD(TIMEVALUE(AH5)+26/1440,1),"HH:MM")</f>
        <v/>
      </c>
      <c r="AI17" s="15">
        <f>TEXT(MOD(TIMEVALUE(AI5)+26/1440,1),"HH:MM")</f>
        <v/>
      </c>
      <c r="AJ17" s="15">
        <f>TEXT(MOD(TIMEVALUE(AJ5)+26/1440,1),"HH:MM")</f>
        <v/>
      </c>
      <c r="AK17" s="15">
        <f>TEXT(MOD(TIMEVALUE(AK5)+26/1440,1),"HH:MM")</f>
        <v/>
      </c>
      <c r="AL17" s="15">
        <f>TEXT(MOD(TIMEVALUE(AL5)+26/1440,1),"HH:MM")</f>
        <v/>
      </c>
      <c r="AM17" s="15">
        <f>TEXT(MOD(TIMEVALUE(AM5)+26/1440,1),"HH:MM")</f>
        <v/>
      </c>
    </row>
    <row r="18" ht="16.5" customHeight="1" s="26">
      <c r="A18" s="22" t="inlineStr">
        <is>
          <t>Jorge Newbery</t>
        </is>
      </c>
      <c r="B18" s="13">
        <f>TEXT(MOD(TIMEVALUE(B5)+28/1440,1),"HH:MM")</f>
        <v/>
      </c>
      <c r="C18" s="13">
        <f>TEXT(MOD(TIMEVALUE(C5)+28/1440,1),"HH:MM")</f>
        <v/>
      </c>
      <c r="D18" s="13">
        <f>TEXT(MOD(TIMEVALUE(D5)+28/1440,1),"HH:MM")</f>
        <v/>
      </c>
      <c r="E18" s="13">
        <f>TEXT(MOD(TIMEVALUE(E5)+28/1440,1),"HH:MM")</f>
        <v/>
      </c>
      <c r="F18" s="13">
        <f>TEXT(MOD(TIMEVALUE(F5)+28/1440,1),"HH:MM")</f>
        <v/>
      </c>
      <c r="G18" s="13">
        <f>TEXT(MOD(TIMEVALUE(G5)+28/1440,1),"HH:MM")</f>
        <v/>
      </c>
      <c r="H18" s="13">
        <f>TEXT(MOD(TIMEVALUE(H5)+28/1440,1),"HH:MM")</f>
        <v/>
      </c>
      <c r="I18" s="13">
        <f>TEXT(MOD(TIMEVALUE(I5)+28/1440,1),"HH:MM")</f>
        <v/>
      </c>
      <c r="J18" s="13">
        <f>TEXT(MOD(TIMEVALUE(J5)+28/1440,1),"HH:MM")</f>
        <v/>
      </c>
      <c r="K18" s="13">
        <f>TEXT(MOD(TIMEVALUE(K5)+28/1440,1),"HH:MM")</f>
        <v/>
      </c>
      <c r="L18" s="13">
        <f>TEXT(MOD(TIMEVALUE(L5)+28/1440,1),"HH:MM")</f>
        <v/>
      </c>
      <c r="M18" s="13">
        <f>TEXT(MOD(TIMEVALUE(M5)+28/1440,1),"HH:MM")</f>
        <v/>
      </c>
      <c r="N18" s="13">
        <f>TEXT(MOD(TIMEVALUE(N5)+28/1440,1),"HH:MM")</f>
        <v/>
      </c>
      <c r="O18" s="13">
        <f>TEXT(MOD(TIMEVALUE(O5)+28/1440,1),"HH:MM")</f>
        <v/>
      </c>
      <c r="P18" s="13">
        <f>TEXT(MOD(TIMEVALUE(P5)+28/1440,1),"HH:MM")</f>
        <v/>
      </c>
      <c r="Q18" s="13">
        <f>TEXT(MOD(TIMEVALUE(Q5)+28/1440,1),"HH:MM")</f>
        <v/>
      </c>
      <c r="R18" s="13">
        <f>TEXT(MOD(TIMEVALUE(R5)+28/1440,1),"HH:MM")</f>
        <v/>
      </c>
      <c r="S18" s="13">
        <f>TEXT(MOD(TIMEVALUE(S5)+28/1440,1),"HH:MM")</f>
        <v/>
      </c>
      <c r="T18" s="13">
        <f>TEXT(MOD(TIMEVALUE(T5)+28/1440,1),"HH:MM")</f>
        <v/>
      </c>
      <c r="U18" s="13">
        <f>TEXT(MOD(TIMEVALUE(U5)+28/1440,1),"HH:MM")</f>
        <v/>
      </c>
      <c r="V18" s="13">
        <f>TEXT(MOD(TIMEVALUE(V5)+28/1440,1),"HH:MM")</f>
        <v/>
      </c>
      <c r="W18" s="13">
        <f>TEXT(MOD(TIMEVALUE(W5)+28/1440,1),"HH:MM")</f>
        <v/>
      </c>
      <c r="X18" s="13">
        <f>TEXT(MOD(TIMEVALUE(X5)+28/1440,1),"HH:MM")</f>
        <v/>
      </c>
      <c r="Y18" s="13">
        <f>TEXT(MOD(TIMEVALUE(Y5)+28/1440,1),"HH:MM")</f>
        <v/>
      </c>
      <c r="Z18" s="13">
        <f>TEXT(MOD(TIMEVALUE(Z5)+28/1440,1),"HH:MM")</f>
        <v/>
      </c>
      <c r="AA18" s="13">
        <f>TEXT(MOD(TIMEVALUE(AA5)+28/1440,1),"HH:MM")</f>
        <v/>
      </c>
      <c r="AB18" s="13">
        <f>TEXT(MOD(TIMEVALUE(AB5)+28/1440,1),"HH:MM")</f>
        <v/>
      </c>
      <c r="AC18" s="13">
        <f>TEXT(MOD(TIMEVALUE(AC5)+28/1440,1),"HH:MM")</f>
        <v/>
      </c>
      <c r="AD18" s="13">
        <f>TEXT(MOD(TIMEVALUE(AD5)+28/1440,1),"HH:MM")</f>
        <v/>
      </c>
      <c r="AE18" s="13">
        <f>TEXT(MOD(TIMEVALUE(AE5)+28/1440,1),"HH:MM")</f>
        <v/>
      </c>
      <c r="AF18" s="13">
        <f>TEXT(MOD(TIMEVALUE(AF5)+28/1440,1),"HH:MM")</f>
        <v/>
      </c>
      <c r="AG18" s="13">
        <f>TEXT(MOD(TIMEVALUE(AG5)+28/1440,1),"HH:MM")</f>
        <v/>
      </c>
      <c r="AH18" s="13">
        <f>TEXT(MOD(TIMEVALUE(AH5)+28/1440,1),"HH:MM")</f>
        <v/>
      </c>
      <c r="AI18" s="13">
        <f>TEXT(MOD(TIMEVALUE(AI5)+28/1440,1),"HH:MM")</f>
        <v/>
      </c>
      <c r="AJ18" s="13">
        <f>TEXT(MOD(TIMEVALUE(AJ5)+28/1440,1),"HH:MM")</f>
        <v/>
      </c>
      <c r="AK18" s="13">
        <f>TEXT(MOD(TIMEVALUE(AK5)+28/1440,1),"HH:MM")</f>
        <v/>
      </c>
      <c r="AL18" s="13">
        <f>TEXT(MOD(TIMEVALUE(AL5)+28/1440,1),"HH:MM")</f>
        <v/>
      </c>
      <c r="AM18" s="13">
        <f>TEXT(MOD(TIMEVALUE(AM5)+28/1440,1),"HH:MM")</f>
        <v/>
      </c>
    </row>
    <row r="19" ht="16.5" customHeight="1" s="26">
      <c r="A19" s="23" t="inlineStr">
        <is>
          <t>Rubén Darío</t>
        </is>
      </c>
      <c r="B19" s="15">
        <f>TEXT(MOD(TIMEVALUE(B5)+29/1440,1),"HH:MM")</f>
        <v/>
      </c>
      <c r="C19" s="15">
        <f>TEXT(MOD(TIMEVALUE(C5)+29/1440,1),"HH:MM")</f>
        <v/>
      </c>
      <c r="D19" s="15">
        <f>TEXT(MOD(TIMEVALUE(D5)+29/1440,1),"HH:MM")</f>
        <v/>
      </c>
      <c r="E19" s="15">
        <f>TEXT(MOD(TIMEVALUE(E5)+29/1440,1),"HH:MM")</f>
        <v/>
      </c>
      <c r="F19" s="15">
        <f>TEXT(MOD(TIMEVALUE(F5)+29/1440,1),"HH:MM")</f>
        <v/>
      </c>
      <c r="G19" s="15">
        <f>TEXT(MOD(TIMEVALUE(G5)+29/1440,1),"HH:MM")</f>
        <v/>
      </c>
      <c r="H19" s="15">
        <f>TEXT(MOD(TIMEVALUE(H5)+29/1440,1),"HH:MM")</f>
        <v/>
      </c>
      <c r="I19" s="15">
        <f>TEXT(MOD(TIMEVALUE(I5)+29/1440,1),"HH:MM")</f>
        <v/>
      </c>
      <c r="J19" s="15">
        <f>TEXT(MOD(TIMEVALUE(J5)+29/1440,1),"HH:MM")</f>
        <v/>
      </c>
      <c r="K19" s="15">
        <f>TEXT(MOD(TIMEVALUE(K5)+29/1440,1),"HH:MM")</f>
        <v/>
      </c>
      <c r="L19" s="15">
        <f>TEXT(MOD(TIMEVALUE(L5)+29/1440,1),"HH:MM")</f>
        <v/>
      </c>
      <c r="M19" s="15">
        <f>TEXT(MOD(TIMEVALUE(M5)+29/1440,1),"HH:MM")</f>
        <v/>
      </c>
      <c r="N19" s="15">
        <f>TEXT(MOD(TIMEVALUE(N5)+29/1440,1),"HH:MM")</f>
        <v/>
      </c>
      <c r="O19" s="15">
        <f>TEXT(MOD(TIMEVALUE(O5)+29/1440,1),"HH:MM")</f>
        <v/>
      </c>
      <c r="P19" s="15">
        <f>TEXT(MOD(TIMEVALUE(P5)+29/1440,1),"HH:MM")</f>
        <v/>
      </c>
      <c r="Q19" s="15">
        <f>TEXT(MOD(TIMEVALUE(Q5)+29/1440,1),"HH:MM")</f>
        <v/>
      </c>
      <c r="R19" s="15">
        <f>TEXT(MOD(TIMEVALUE(R5)+29/1440,1),"HH:MM")</f>
        <v/>
      </c>
      <c r="S19" s="15">
        <f>TEXT(MOD(TIMEVALUE(S5)+29/1440,1),"HH:MM")</f>
        <v/>
      </c>
      <c r="T19" s="15">
        <f>TEXT(MOD(TIMEVALUE(T5)+29/1440,1),"HH:MM")</f>
        <v/>
      </c>
      <c r="U19" s="15">
        <f>TEXT(MOD(TIMEVALUE(U5)+29/1440,1),"HH:MM")</f>
        <v/>
      </c>
      <c r="V19" s="15">
        <f>TEXT(MOD(TIMEVALUE(V5)+29/1440,1),"HH:MM")</f>
        <v/>
      </c>
      <c r="W19" s="15">
        <f>TEXT(MOD(TIMEVALUE(W5)+29/1440,1),"HH:MM")</f>
        <v/>
      </c>
      <c r="X19" s="15">
        <f>TEXT(MOD(TIMEVALUE(X5)+29/1440,1),"HH:MM")</f>
        <v/>
      </c>
      <c r="Y19" s="15">
        <f>TEXT(MOD(TIMEVALUE(Y5)+29/1440,1),"HH:MM")</f>
        <v/>
      </c>
      <c r="Z19" s="15">
        <f>TEXT(MOD(TIMEVALUE(Z5)+29/1440,1),"HH:MM")</f>
        <v/>
      </c>
      <c r="AA19" s="15">
        <f>TEXT(MOD(TIMEVALUE(AA5)+29/1440,1),"HH:MM")</f>
        <v/>
      </c>
      <c r="AB19" s="15">
        <f>TEXT(MOD(TIMEVALUE(AB5)+29/1440,1),"HH:MM")</f>
        <v/>
      </c>
      <c r="AC19" s="15">
        <f>TEXT(MOD(TIMEVALUE(AC5)+29/1440,1),"HH:MM")</f>
        <v/>
      </c>
      <c r="AD19" s="15">
        <f>TEXT(MOD(TIMEVALUE(AD5)+29/1440,1),"HH:MM")</f>
        <v/>
      </c>
      <c r="AE19" s="15">
        <f>TEXT(MOD(TIMEVALUE(AE5)+29/1440,1),"HH:MM")</f>
        <v/>
      </c>
      <c r="AF19" s="15">
        <f>TEXT(MOD(TIMEVALUE(AF5)+29/1440,1),"HH:MM")</f>
        <v/>
      </c>
      <c r="AG19" s="15">
        <f>TEXT(MOD(TIMEVALUE(AG5)+29/1440,1),"HH:MM")</f>
        <v/>
      </c>
      <c r="AH19" s="15">
        <f>TEXT(MOD(TIMEVALUE(AH5)+29/1440,1),"HH:MM")</f>
        <v/>
      </c>
      <c r="AI19" s="15">
        <f>TEXT(MOD(TIMEVALUE(AI5)+29/1440,1),"HH:MM")</f>
        <v/>
      </c>
      <c r="AJ19" s="15">
        <f>TEXT(MOD(TIMEVALUE(AJ5)+29/1440,1),"HH:MM")</f>
        <v/>
      </c>
      <c r="AK19" s="15">
        <f>TEXT(MOD(TIMEVALUE(AK5)+29/1440,1),"HH:MM")</f>
        <v/>
      </c>
      <c r="AL19" s="15">
        <f>TEXT(MOD(TIMEVALUE(AL5)+29/1440,1),"HH:MM")</f>
        <v/>
      </c>
      <c r="AM19" s="15">
        <f>TEXT(MOD(TIMEVALUE(AM5)+29/1440,1),"HH:MM")</f>
        <v/>
      </c>
    </row>
    <row r="20" ht="16.5" customHeight="1" s="26">
      <c r="A20" s="22" t="inlineStr">
        <is>
          <t>Ejército de los Andes</t>
        </is>
      </c>
      <c r="B20" s="13">
        <f>TEXT(MOD(TIMEVALUE(B5)+33/1440,1),"HH:MM")</f>
        <v/>
      </c>
      <c r="C20" s="13">
        <f>TEXT(MOD(TIMEVALUE(C5)+33/1440,1),"HH:MM")</f>
        <v/>
      </c>
      <c r="D20" s="13">
        <f>TEXT(MOD(TIMEVALUE(D5)+33/1440,1),"HH:MM")</f>
        <v/>
      </c>
      <c r="E20" s="13">
        <f>TEXT(MOD(TIMEVALUE(E5)+33/1440,1),"HH:MM")</f>
        <v/>
      </c>
      <c r="F20" s="13">
        <f>TEXT(MOD(TIMEVALUE(F5)+33/1440,1),"HH:MM")</f>
        <v/>
      </c>
      <c r="G20" s="13">
        <f>TEXT(MOD(TIMEVALUE(G5)+33/1440,1),"HH:MM")</f>
        <v/>
      </c>
      <c r="H20" s="13">
        <f>TEXT(MOD(TIMEVALUE(H5)+33/1440,1),"HH:MM")</f>
        <v/>
      </c>
      <c r="I20" s="13">
        <f>TEXT(MOD(TIMEVALUE(I5)+33/1440,1),"HH:MM")</f>
        <v/>
      </c>
      <c r="J20" s="13">
        <f>TEXT(MOD(TIMEVALUE(J5)+33/1440,1),"HH:MM")</f>
        <v/>
      </c>
      <c r="K20" s="13">
        <f>TEXT(MOD(TIMEVALUE(K5)+33/1440,1),"HH:MM")</f>
        <v/>
      </c>
      <c r="L20" s="13">
        <f>TEXT(MOD(TIMEVALUE(L5)+33/1440,1),"HH:MM")</f>
        <v/>
      </c>
      <c r="M20" s="13">
        <f>TEXT(MOD(TIMEVALUE(M5)+33/1440,1),"HH:MM")</f>
        <v/>
      </c>
      <c r="N20" s="13">
        <f>TEXT(MOD(TIMEVALUE(N5)+33/1440,1),"HH:MM")</f>
        <v/>
      </c>
      <c r="O20" s="13">
        <f>TEXT(MOD(TIMEVALUE(O5)+33/1440,1),"HH:MM")</f>
        <v/>
      </c>
      <c r="P20" s="13">
        <f>TEXT(MOD(TIMEVALUE(P5)+33/1440,1),"HH:MM")</f>
        <v/>
      </c>
      <c r="Q20" s="13">
        <f>TEXT(MOD(TIMEVALUE(Q5)+33/1440,1),"HH:MM")</f>
        <v/>
      </c>
      <c r="R20" s="13">
        <f>TEXT(MOD(TIMEVALUE(R5)+33/1440,1),"HH:MM")</f>
        <v/>
      </c>
      <c r="S20" s="13">
        <f>TEXT(MOD(TIMEVALUE(S5)+33/1440,1),"HH:MM")</f>
        <v/>
      </c>
      <c r="T20" s="13">
        <f>TEXT(MOD(TIMEVALUE(T5)+33/1440,1),"HH:MM")</f>
        <v/>
      </c>
      <c r="U20" s="13">
        <f>TEXT(MOD(TIMEVALUE(U5)+33/1440,1),"HH:MM")</f>
        <v/>
      </c>
      <c r="V20" s="13">
        <f>TEXT(MOD(TIMEVALUE(V5)+33/1440,1),"HH:MM")</f>
        <v/>
      </c>
      <c r="W20" s="13">
        <f>TEXT(MOD(TIMEVALUE(W5)+33/1440,1),"HH:MM")</f>
        <v/>
      </c>
      <c r="X20" s="13">
        <f>TEXT(MOD(TIMEVALUE(X5)+33/1440,1),"HH:MM")</f>
        <v/>
      </c>
      <c r="Y20" s="13">
        <f>TEXT(MOD(TIMEVALUE(Y5)+33/1440,1),"HH:MM")</f>
        <v/>
      </c>
      <c r="Z20" s="13">
        <f>TEXT(MOD(TIMEVALUE(Z5)+33/1440,1),"HH:MM")</f>
        <v/>
      </c>
      <c r="AA20" s="13">
        <f>TEXT(MOD(TIMEVALUE(AA5)+33/1440,1),"HH:MM")</f>
        <v/>
      </c>
      <c r="AB20" s="13">
        <f>TEXT(MOD(TIMEVALUE(AB5)+33/1440,1),"HH:MM")</f>
        <v/>
      </c>
      <c r="AC20" s="13">
        <f>TEXT(MOD(TIMEVALUE(AC5)+33/1440,1),"HH:MM")</f>
        <v/>
      </c>
      <c r="AD20" s="13">
        <f>TEXT(MOD(TIMEVALUE(AD5)+33/1440,1),"HH:MM")</f>
        <v/>
      </c>
      <c r="AE20" s="13">
        <f>TEXT(MOD(TIMEVALUE(AE5)+33/1440,1),"HH:MM")</f>
        <v/>
      </c>
      <c r="AF20" s="13">
        <f>TEXT(MOD(TIMEVALUE(AF5)+33/1440,1),"HH:MM")</f>
        <v/>
      </c>
      <c r="AG20" s="13">
        <f>TEXT(MOD(TIMEVALUE(AG5)+33/1440,1),"HH:MM")</f>
        <v/>
      </c>
      <c r="AH20" s="13">
        <f>TEXT(MOD(TIMEVALUE(AH5)+33/1440,1),"HH:MM")</f>
        <v/>
      </c>
      <c r="AI20" s="13">
        <f>TEXT(MOD(TIMEVALUE(AI5)+33/1440,1),"HH:MM")</f>
        <v/>
      </c>
      <c r="AJ20" s="13">
        <f>TEXT(MOD(TIMEVALUE(AJ5)+33/1440,1),"HH:MM")</f>
        <v/>
      </c>
      <c r="AK20" s="13">
        <f>TEXT(MOD(TIMEVALUE(AK5)+33/1440,1),"HH:MM")</f>
        <v/>
      </c>
      <c r="AL20" s="13">
        <f>TEXT(MOD(TIMEVALUE(AL5)+33/1440,1),"HH:MM")</f>
        <v/>
      </c>
      <c r="AM20" s="13">
        <f>TEXT(MOD(TIMEVALUE(AM5)+33/1440,1),"HH:MM")</f>
        <v/>
      </c>
    </row>
    <row r="21" ht="16.5" customHeight="1" s="26">
      <c r="A21" s="23" t="inlineStr">
        <is>
          <t>Juan E. de la Salle</t>
        </is>
      </c>
      <c r="B21" s="15">
        <f>TEXT(MOD(TIMEVALUE(B5)+34/1440,1),"HH:MM")</f>
        <v/>
      </c>
      <c r="C21" s="15">
        <f>TEXT(MOD(TIMEVALUE(C5)+34/1440,1),"HH:MM")</f>
        <v/>
      </c>
      <c r="D21" s="15">
        <f>TEXT(MOD(TIMEVALUE(D5)+34/1440,1),"HH:MM")</f>
        <v/>
      </c>
      <c r="E21" s="15">
        <f>TEXT(MOD(TIMEVALUE(E5)+34/1440,1),"HH:MM")</f>
        <v/>
      </c>
      <c r="F21" s="15">
        <f>TEXT(MOD(TIMEVALUE(F5)+34/1440,1),"HH:MM")</f>
        <v/>
      </c>
      <c r="G21" s="15">
        <f>TEXT(MOD(TIMEVALUE(G5)+34/1440,1),"HH:MM")</f>
        <v/>
      </c>
      <c r="H21" s="15">
        <f>TEXT(MOD(TIMEVALUE(H5)+34/1440,1),"HH:MM")</f>
        <v/>
      </c>
      <c r="I21" s="15">
        <f>TEXT(MOD(TIMEVALUE(I5)+34/1440,1),"HH:MM")</f>
        <v/>
      </c>
      <c r="J21" s="15">
        <f>TEXT(MOD(TIMEVALUE(J5)+34/1440,1),"HH:MM")</f>
        <v/>
      </c>
      <c r="K21" s="15">
        <f>TEXT(MOD(TIMEVALUE(K5)+34/1440,1),"HH:MM")</f>
        <v/>
      </c>
      <c r="L21" s="15">
        <f>TEXT(MOD(TIMEVALUE(L5)+34/1440,1),"HH:MM")</f>
        <v/>
      </c>
      <c r="M21" s="15">
        <f>TEXT(MOD(TIMEVALUE(M5)+34/1440,1),"HH:MM")</f>
        <v/>
      </c>
      <c r="N21" s="15">
        <f>TEXT(MOD(TIMEVALUE(N5)+34/1440,1),"HH:MM")</f>
        <v/>
      </c>
      <c r="O21" s="15">
        <f>TEXT(MOD(TIMEVALUE(O5)+34/1440,1),"HH:MM")</f>
        <v/>
      </c>
      <c r="P21" s="15">
        <f>TEXT(MOD(TIMEVALUE(P5)+34/1440,1),"HH:MM")</f>
        <v/>
      </c>
      <c r="Q21" s="15">
        <f>TEXT(MOD(TIMEVALUE(Q5)+34/1440,1),"HH:MM")</f>
        <v/>
      </c>
      <c r="R21" s="15">
        <f>TEXT(MOD(TIMEVALUE(R5)+34/1440,1),"HH:MM")</f>
        <v/>
      </c>
      <c r="S21" s="15">
        <f>TEXT(MOD(TIMEVALUE(S5)+34/1440,1),"HH:MM")</f>
        <v/>
      </c>
      <c r="T21" s="15">
        <f>TEXT(MOD(TIMEVALUE(T5)+34/1440,1),"HH:MM")</f>
        <v/>
      </c>
      <c r="U21" s="15">
        <f>TEXT(MOD(TIMEVALUE(U5)+34/1440,1),"HH:MM")</f>
        <v/>
      </c>
      <c r="V21" s="15">
        <f>TEXT(MOD(TIMEVALUE(V5)+34/1440,1),"HH:MM")</f>
        <v/>
      </c>
      <c r="W21" s="15">
        <f>TEXT(MOD(TIMEVALUE(W5)+34/1440,1),"HH:MM")</f>
        <v/>
      </c>
      <c r="X21" s="15">
        <f>TEXT(MOD(TIMEVALUE(X5)+34/1440,1),"HH:MM")</f>
        <v/>
      </c>
      <c r="Y21" s="15">
        <f>TEXT(MOD(TIMEVALUE(Y5)+34/1440,1),"HH:MM")</f>
        <v/>
      </c>
      <c r="Z21" s="15">
        <f>TEXT(MOD(TIMEVALUE(Z5)+34/1440,1),"HH:MM")</f>
        <v/>
      </c>
      <c r="AA21" s="15">
        <f>TEXT(MOD(TIMEVALUE(AA5)+34/1440,1),"HH:MM")</f>
        <v/>
      </c>
      <c r="AB21" s="15">
        <f>TEXT(MOD(TIMEVALUE(AB5)+34/1440,1),"HH:MM")</f>
        <v/>
      </c>
      <c r="AC21" s="15">
        <f>TEXT(MOD(TIMEVALUE(AC5)+34/1440,1),"HH:MM")</f>
        <v/>
      </c>
      <c r="AD21" s="15">
        <f>TEXT(MOD(TIMEVALUE(AD5)+34/1440,1),"HH:MM")</f>
        <v/>
      </c>
      <c r="AE21" s="15">
        <f>TEXT(MOD(TIMEVALUE(AE5)+34/1440,1),"HH:MM")</f>
        <v/>
      </c>
      <c r="AF21" s="15">
        <f>TEXT(MOD(TIMEVALUE(AF5)+34/1440,1),"HH:MM")</f>
        <v/>
      </c>
      <c r="AG21" s="15">
        <f>TEXT(MOD(TIMEVALUE(AG5)+34/1440,1),"HH:MM")</f>
        <v/>
      </c>
      <c r="AH21" s="15">
        <f>TEXT(MOD(TIMEVALUE(AH5)+34/1440,1),"HH:MM")</f>
        <v/>
      </c>
      <c r="AI21" s="15">
        <f>TEXT(MOD(TIMEVALUE(AI5)+34/1440,1),"HH:MM")</f>
        <v/>
      </c>
      <c r="AJ21" s="15">
        <f>TEXT(MOD(TIMEVALUE(AJ5)+34/1440,1),"HH:MM")</f>
        <v/>
      </c>
      <c r="AK21" s="15">
        <f>TEXT(MOD(TIMEVALUE(AK5)+34/1440,1),"HH:MM")</f>
        <v/>
      </c>
      <c r="AL21" s="15">
        <f>TEXT(MOD(TIMEVALUE(AL5)+34/1440,1),"HH:MM")</f>
        <v/>
      </c>
      <c r="AM21" s="15">
        <f>TEXT(MOD(TIMEVALUE(AM5)+34/1440,1),"HH:MM")</f>
        <v/>
      </c>
    </row>
    <row r="22" ht="16.5" customHeight="1" s="26">
      <c r="A22" s="22" t="inlineStr">
        <is>
          <t>Sgto. Barruffaldi</t>
        </is>
      </c>
      <c r="B22" s="13">
        <f>TEXT(MOD(TIMEVALUE(B5)+37/1440,1),"HH:MM")</f>
        <v/>
      </c>
      <c r="C22" s="13">
        <f>TEXT(MOD(TIMEVALUE(C5)+37/1440,1),"HH:MM")</f>
        <v/>
      </c>
      <c r="D22" s="13">
        <f>TEXT(MOD(TIMEVALUE(D5)+37/1440,1),"HH:MM")</f>
        <v/>
      </c>
      <c r="E22" s="13">
        <f>TEXT(MOD(TIMEVALUE(E5)+37/1440,1),"HH:MM")</f>
        <v/>
      </c>
      <c r="F22" s="13">
        <f>TEXT(MOD(TIMEVALUE(F5)+37/1440,1),"HH:MM")</f>
        <v/>
      </c>
      <c r="G22" s="13">
        <f>TEXT(MOD(TIMEVALUE(G5)+37/1440,1),"HH:MM")</f>
        <v/>
      </c>
      <c r="H22" s="13">
        <f>TEXT(MOD(TIMEVALUE(H5)+37/1440,1),"HH:MM")</f>
        <v/>
      </c>
      <c r="I22" s="13">
        <f>TEXT(MOD(TIMEVALUE(I5)+37/1440,1),"HH:MM")</f>
        <v/>
      </c>
      <c r="J22" s="13">
        <f>TEXT(MOD(TIMEVALUE(J5)+37/1440,1),"HH:MM")</f>
        <v/>
      </c>
      <c r="K22" s="13">
        <f>TEXT(MOD(TIMEVALUE(K5)+37/1440,1),"HH:MM")</f>
        <v/>
      </c>
      <c r="L22" s="13">
        <f>TEXT(MOD(TIMEVALUE(L5)+37/1440,1),"HH:MM")</f>
        <v/>
      </c>
      <c r="M22" s="13">
        <f>TEXT(MOD(TIMEVALUE(M5)+37/1440,1),"HH:MM")</f>
        <v/>
      </c>
      <c r="N22" s="13">
        <f>TEXT(MOD(TIMEVALUE(N5)+37/1440,1),"HH:MM")</f>
        <v/>
      </c>
      <c r="O22" s="13">
        <f>TEXT(MOD(TIMEVALUE(O5)+37/1440,1),"HH:MM")</f>
        <v/>
      </c>
      <c r="P22" s="13">
        <f>TEXT(MOD(TIMEVALUE(P5)+37/1440,1),"HH:MM")</f>
        <v/>
      </c>
      <c r="Q22" s="13">
        <f>TEXT(MOD(TIMEVALUE(Q5)+37/1440,1),"HH:MM")</f>
        <v/>
      </c>
      <c r="R22" s="13">
        <f>TEXT(MOD(TIMEVALUE(R5)+37/1440,1),"HH:MM")</f>
        <v/>
      </c>
      <c r="S22" s="13">
        <f>TEXT(MOD(TIMEVALUE(S5)+37/1440,1),"HH:MM")</f>
        <v/>
      </c>
      <c r="T22" s="13">
        <f>TEXT(MOD(TIMEVALUE(T5)+37/1440,1),"HH:MM")</f>
        <v/>
      </c>
      <c r="U22" s="13">
        <f>TEXT(MOD(TIMEVALUE(U5)+37/1440,1),"HH:MM")</f>
        <v/>
      </c>
      <c r="V22" s="13">
        <f>TEXT(MOD(TIMEVALUE(V5)+37/1440,1),"HH:MM")</f>
        <v/>
      </c>
      <c r="W22" s="13">
        <f>TEXT(MOD(TIMEVALUE(W5)+37/1440,1),"HH:MM")</f>
        <v/>
      </c>
      <c r="X22" s="13">
        <f>TEXT(MOD(TIMEVALUE(X5)+37/1440,1),"HH:MM")</f>
        <v/>
      </c>
      <c r="Y22" s="13">
        <f>TEXT(MOD(TIMEVALUE(Y5)+37/1440,1),"HH:MM")</f>
        <v/>
      </c>
      <c r="Z22" s="13">
        <f>TEXT(MOD(TIMEVALUE(Z5)+37/1440,1),"HH:MM")</f>
        <v/>
      </c>
      <c r="AA22" s="13">
        <f>TEXT(MOD(TIMEVALUE(AA5)+37/1440,1),"HH:MM")</f>
        <v/>
      </c>
      <c r="AB22" s="13">
        <f>TEXT(MOD(TIMEVALUE(AB5)+37/1440,1),"HH:MM")</f>
        <v/>
      </c>
      <c r="AC22" s="13">
        <f>TEXT(MOD(TIMEVALUE(AC5)+37/1440,1),"HH:MM")</f>
        <v/>
      </c>
      <c r="AD22" s="13">
        <f>TEXT(MOD(TIMEVALUE(AD5)+37/1440,1),"HH:MM")</f>
        <v/>
      </c>
      <c r="AE22" s="13">
        <f>TEXT(MOD(TIMEVALUE(AE5)+37/1440,1),"HH:MM")</f>
        <v/>
      </c>
      <c r="AF22" s="13">
        <f>TEXT(MOD(TIMEVALUE(AF5)+37/1440,1),"HH:MM")</f>
        <v/>
      </c>
      <c r="AG22" s="13">
        <f>TEXT(MOD(TIMEVALUE(AG5)+37/1440,1),"HH:MM")</f>
        <v/>
      </c>
      <c r="AH22" s="13">
        <f>TEXT(MOD(TIMEVALUE(AH5)+37/1440,1),"HH:MM")</f>
        <v/>
      </c>
      <c r="AI22" s="13">
        <f>TEXT(MOD(TIMEVALUE(AI5)+37/1440,1),"HH:MM")</f>
        <v/>
      </c>
      <c r="AJ22" s="13">
        <f>TEXT(MOD(TIMEVALUE(AJ5)+37/1440,1),"HH:MM")</f>
        <v/>
      </c>
      <c r="AK22" s="13">
        <f>TEXT(MOD(TIMEVALUE(AK5)+37/1440,1),"HH:MM")</f>
        <v/>
      </c>
      <c r="AL22" s="13">
        <f>TEXT(MOD(TIMEVALUE(AL5)+37/1440,1),"HH:MM")</f>
        <v/>
      </c>
      <c r="AM22" s="13">
        <f>TEXT(MOD(TIMEVALUE(AM5)+37/1440,1),"HH:MM")</f>
        <v/>
      </c>
    </row>
    <row r="23" ht="16.5" customHeight="1" s="26">
      <c r="A23" s="23" t="inlineStr">
        <is>
          <t>Capitán Lozano</t>
        </is>
      </c>
      <c r="B23" s="15">
        <f>TEXT(MOD(TIMEVALUE(B5)+39/1440,1),"HH:MM")</f>
        <v/>
      </c>
      <c r="C23" s="15">
        <f>TEXT(MOD(TIMEVALUE(C5)+39/1440,1),"HH:MM")</f>
        <v/>
      </c>
      <c r="D23" s="15">
        <f>TEXT(MOD(TIMEVALUE(D5)+39/1440,1),"HH:MM")</f>
        <v/>
      </c>
      <c r="E23" s="15">
        <f>TEXT(MOD(TIMEVALUE(E5)+39/1440,1),"HH:MM")</f>
        <v/>
      </c>
      <c r="F23" s="15">
        <f>TEXT(MOD(TIMEVALUE(F5)+39/1440,1),"HH:MM")</f>
        <v/>
      </c>
      <c r="G23" s="15">
        <f>TEXT(MOD(TIMEVALUE(G5)+39/1440,1),"HH:MM")</f>
        <v/>
      </c>
      <c r="H23" s="15">
        <f>TEXT(MOD(TIMEVALUE(H5)+39/1440,1),"HH:MM")</f>
        <v/>
      </c>
      <c r="I23" s="15">
        <f>TEXT(MOD(TIMEVALUE(I5)+39/1440,1),"HH:MM")</f>
        <v/>
      </c>
      <c r="J23" s="15">
        <f>TEXT(MOD(TIMEVALUE(J5)+39/1440,1),"HH:MM")</f>
        <v/>
      </c>
      <c r="K23" s="15">
        <f>TEXT(MOD(TIMEVALUE(K5)+39/1440,1),"HH:MM")</f>
        <v/>
      </c>
      <c r="L23" s="15">
        <f>TEXT(MOD(TIMEVALUE(L5)+39/1440,1),"HH:MM")</f>
        <v/>
      </c>
      <c r="M23" s="15">
        <f>TEXT(MOD(TIMEVALUE(M5)+39/1440,1),"HH:MM")</f>
        <v/>
      </c>
      <c r="N23" s="15">
        <f>TEXT(MOD(TIMEVALUE(N5)+39/1440,1),"HH:MM")</f>
        <v/>
      </c>
      <c r="O23" s="15">
        <f>TEXT(MOD(TIMEVALUE(O5)+39/1440,1),"HH:MM")</f>
        <v/>
      </c>
      <c r="P23" s="15">
        <f>TEXT(MOD(TIMEVALUE(P5)+39/1440,1),"HH:MM")</f>
        <v/>
      </c>
      <c r="Q23" s="15">
        <f>TEXT(MOD(TIMEVALUE(Q5)+39/1440,1),"HH:MM")</f>
        <v/>
      </c>
      <c r="R23" s="15">
        <f>TEXT(MOD(TIMEVALUE(R5)+39/1440,1),"HH:MM")</f>
        <v/>
      </c>
      <c r="S23" s="15">
        <f>TEXT(MOD(TIMEVALUE(S5)+39/1440,1),"HH:MM")</f>
        <v/>
      </c>
      <c r="T23" s="15">
        <f>TEXT(MOD(TIMEVALUE(T5)+39/1440,1),"HH:MM")</f>
        <v/>
      </c>
      <c r="U23" s="15">
        <f>TEXT(MOD(TIMEVALUE(U5)+39/1440,1),"HH:MM")</f>
        <v/>
      </c>
      <c r="V23" s="15">
        <f>TEXT(MOD(TIMEVALUE(V5)+39/1440,1),"HH:MM")</f>
        <v/>
      </c>
      <c r="W23" s="15">
        <f>TEXT(MOD(TIMEVALUE(W5)+39/1440,1),"HH:MM")</f>
        <v/>
      </c>
      <c r="X23" s="15">
        <f>TEXT(MOD(TIMEVALUE(X5)+39/1440,1),"HH:MM")</f>
        <v/>
      </c>
      <c r="Y23" s="15">
        <f>TEXT(MOD(TIMEVALUE(Y5)+39/1440,1),"HH:MM")</f>
        <v/>
      </c>
      <c r="Z23" s="15">
        <f>TEXT(MOD(TIMEVALUE(Z5)+39/1440,1),"HH:MM")</f>
        <v/>
      </c>
      <c r="AA23" s="15">
        <f>TEXT(MOD(TIMEVALUE(AA5)+39/1440,1),"HH:MM")</f>
        <v/>
      </c>
      <c r="AB23" s="15">
        <f>TEXT(MOD(TIMEVALUE(AB5)+39/1440,1),"HH:MM")</f>
        <v/>
      </c>
      <c r="AC23" s="15">
        <f>TEXT(MOD(TIMEVALUE(AC5)+39/1440,1),"HH:MM")</f>
        <v/>
      </c>
      <c r="AD23" s="15">
        <f>TEXT(MOD(TIMEVALUE(AD5)+39/1440,1),"HH:MM")</f>
        <v/>
      </c>
      <c r="AE23" s="15">
        <f>TEXT(MOD(TIMEVALUE(AE5)+39/1440,1),"HH:MM")</f>
        <v/>
      </c>
      <c r="AF23" s="15">
        <f>TEXT(MOD(TIMEVALUE(AF5)+39/1440,1),"HH:MM")</f>
        <v/>
      </c>
      <c r="AG23" s="15">
        <f>TEXT(MOD(TIMEVALUE(AG5)+39/1440,1),"HH:MM")</f>
        <v/>
      </c>
      <c r="AH23" s="15">
        <f>TEXT(MOD(TIMEVALUE(AH5)+39/1440,1),"HH:MM")</f>
        <v/>
      </c>
      <c r="AI23" s="15">
        <f>TEXT(MOD(TIMEVALUE(AI5)+39/1440,1),"HH:MM")</f>
        <v/>
      </c>
      <c r="AJ23" s="15">
        <f>TEXT(MOD(TIMEVALUE(AJ5)+39/1440,1),"HH:MM")</f>
        <v/>
      </c>
      <c r="AK23" s="15">
        <f>TEXT(MOD(TIMEVALUE(AK5)+39/1440,1),"HH:MM")</f>
        <v/>
      </c>
      <c r="AL23" s="15">
        <f>TEXT(MOD(TIMEVALUE(AL5)+39/1440,1),"HH:MM")</f>
        <v/>
      </c>
      <c r="AM23" s="15">
        <f>TEXT(MOD(TIMEVALUE(AM5)+39/1440,1),"HH:MM")</f>
        <v/>
      </c>
    </row>
    <row r="24" ht="16.5" customHeight="1" s="26">
      <c r="A24" s="22" t="inlineStr">
        <is>
          <t>Teniente Agneta</t>
        </is>
      </c>
      <c r="B24" s="13">
        <f>TEXT(MOD(TIMEVALUE(B5)+41/1440,1),"HH:MM")</f>
        <v/>
      </c>
      <c r="C24" s="13">
        <f>TEXT(MOD(TIMEVALUE(C5)+41/1440,1),"HH:MM")</f>
        <v/>
      </c>
      <c r="D24" s="13">
        <f>TEXT(MOD(TIMEVALUE(D5)+41/1440,1),"HH:MM")</f>
        <v/>
      </c>
      <c r="E24" s="13">
        <f>TEXT(MOD(TIMEVALUE(E5)+41/1440,1),"HH:MM")</f>
        <v/>
      </c>
      <c r="F24" s="13">
        <f>TEXT(MOD(TIMEVALUE(F5)+41/1440,1),"HH:MM")</f>
        <v/>
      </c>
      <c r="G24" s="13">
        <f>TEXT(MOD(TIMEVALUE(G5)+41/1440,1),"HH:MM")</f>
        <v/>
      </c>
      <c r="H24" s="13">
        <f>TEXT(MOD(TIMEVALUE(H5)+41/1440,1),"HH:MM")</f>
        <v/>
      </c>
      <c r="I24" s="13">
        <f>TEXT(MOD(TIMEVALUE(I5)+41/1440,1),"HH:MM")</f>
        <v/>
      </c>
      <c r="J24" s="13">
        <f>TEXT(MOD(TIMEVALUE(J5)+41/1440,1),"HH:MM")</f>
        <v/>
      </c>
      <c r="K24" s="13">
        <f>TEXT(MOD(TIMEVALUE(K5)+41/1440,1),"HH:MM")</f>
        <v/>
      </c>
      <c r="L24" s="13">
        <f>TEXT(MOD(TIMEVALUE(L5)+41/1440,1),"HH:MM")</f>
        <v/>
      </c>
      <c r="M24" s="13">
        <f>TEXT(MOD(TIMEVALUE(M5)+41/1440,1),"HH:MM")</f>
        <v/>
      </c>
      <c r="N24" s="13">
        <f>TEXT(MOD(TIMEVALUE(N5)+41/1440,1),"HH:MM")</f>
        <v/>
      </c>
      <c r="O24" s="13">
        <f>TEXT(MOD(TIMEVALUE(O5)+41/1440,1),"HH:MM")</f>
        <v/>
      </c>
      <c r="P24" s="13">
        <f>TEXT(MOD(TIMEVALUE(P5)+41/1440,1),"HH:MM")</f>
        <v/>
      </c>
      <c r="Q24" s="13">
        <f>TEXT(MOD(TIMEVALUE(Q5)+41/1440,1),"HH:MM")</f>
        <v/>
      </c>
      <c r="R24" s="13">
        <f>TEXT(MOD(TIMEVALUE(R5)+41/1440,1),"HH:MM")</f>
        <v/>
      </c>
      <c r="S24" s="13">
        <f>TEXT(MOD(TIMEVALUE(S5)+41/1440,1),"HH:MM")</f>
        <v/>
      </c>
      <c r="T24" s="13">
        <f>TEXT(MOD(TIMEVALUE(T5)+41/1440,1),"HH:MM")</f>
        <v/>
      </c>
      <c r="U24" s="13">
        <f>TEXT(MOD(TIMEVALUE(U5)+41/1440,1),"HH:MM")</f>
        <v/>
      </c>
      <c r="V24" s="13">
        <f>TEXT(MOD(TIMEVALUE(V5)+41/1440,1),"HH:MM")</f>
        <v/>
      </c>
      <c r="W24" s="13">
        <f>TEXT(MOD(TIMEVALUE(W5)+41/1440,1),"HH:MM")</f>
        <v/>
      </c>
      <c r="X24" s="13">
        <f>TEXT(MOD(TIMEVALUE(X5)+41/1440,1),"HH:MM")</f>
        <v/>
      </c>
      <c r="Y24" s="13">
        <f>TEXT(MOD(TIMEVALUE(Y5)+41/1440,1),"HH:MM")</f>
        <v/>
      </c>
      <c r="Z24" s="13">
        <f>TEXT(MOD(TIMEVALUE(Z5)+41/1440,1),"HH:MM")</f>
        <v/>
      </c>
      <c r="AA24" s="13">
        <f>TEXT(MOD(TIMEVALUE(AA5)+41/1440,1),"HH:MM")</f>
        <v/>
      </c>
      <c r="AB24" s="13">
        <f>TEXT(MOD(TIMEVALUE(AB5)+41/1440,1),"HH:MM")</f>
        <v/>
      </c>
      <c r="AC24" s="13">
        <f>TEXT(MOD(TIMEVALUE(AC5)+41/1440,1),"HH:MM")</f>
        <v/>
      </c>
      <c r="AD24" s="13">
        <f>TEXT(MOD(TIMEVALUE(AD5)+41/1440,1),"HH:MM")</f>
        <v/>
      </c>
      <c r="AE24" s="13">
        <f>TEXT(MOD(TIMEVALUE(AE5)+41/1440,1),"HH:MM")</f>
        <v/>
      </c>
      <c r="AF24" s="13">
        <f>TEXT(MOD(TIMEVALUE(AF5)+41/1440,1),"HH:MM")</f>
        <v/>
      </c>
      <c r="AG24" s="13">
        <f>TEXT(MOD(TIMEVALUE(AG5)+41/1440,1),"HH:MM")</f>
        <v/>
      </c>
      <c r="AH24" s="13">
        <f>TEXT(MOD(TIMEVALUE(AH5)+41/1440,1),"HH:MM")</f>
        <v/>
      </c>
      <c r="AI24" s="13">
        <f>TEXT(MOD(TIMEVALUE(AI5)+41/1440,1),"HH:MM")</f>
        <v/>
      </c>
      <c r="AJ24" s="13">
        <f>TEXT(MOD(TIMEVALUE(AJ5)+41/1440,1),"HH:MM")</f>
        <v/>
      </c>
      <c r="AK24" s="13">
        <f>TEXT(MOD(TIMEVALUE(AK5)+41/1440,1),"HH:MM")</f>
        <v/>
      </c>
      <c r="AL24" s="13">
        <f>TEXT(MOD(TIMEVALUE(AL5)+41/1440,1),"HH:MM")</f>
        <v/>
      </c>
      <c r="AM24" s="13">
        <f>TEXT(MOD(TIMEVALUE(AM5)+41/1440,1),"HH:MM")</f>
        <v/>
      </c>
    </row>
    <row r="25" ht="16.5" customHeight="1" s="26">
      <c r="A25" s="23" t="inlineStr">
        <is>
          <t>Campo de Mayo</t>
        </is>
      </c>
      <c r="B25" s="15">
        <f>TEXT(MOD(TIMEVALUE(B5)+43/1440,1),"HH:MM")</f>
        <v/>
      </c>
      <c r="C25" s="15">
        <f>TEXT(MOD(TIMEVALUE(C5)+43/1440,1),"HH:MM")</f>
        <v/>
      </c>
      <c r="D25" s="15">
        <f>TEXT(MOD(TIMEVALUE(D5)+43/1440,1),"HH:MM")</f>
        <v/>
      </c>
      <c r="E25" s="15">
        <f>TEXT(MOD(TIMEVALUE(E5)+43/1440,1),"HH:MM")</f>
        <v/>
      </c>
      <c r="F25" s="15">
        <f>TEXT(MOD(TIMEVALUE(F5)+43/1440,1),"HH:MM")</f>
        <v/>
      </c>
      <c r="G25" s="15">
        <f>TEXT(MOD(TIMEVALUE(G5)+43/1440,1),"HH:MM")</f>
        <v/>
      </c>
      <c r="H25" s="15">
        <f>TEXT(MOD(TIMEVALUE(H5)+43/1440,1),"HH:MM")</f>
        <v/>
      </c>
      <c r="I25" s="15">
        <f>TEXT(MOD(TIMEVALUE(I5)+43/1440,1),"HH:MM")</f>
        <v/>
      </c>
      <c r="J25" s="15">
        <f>TEXT(MOD(TIMEVALUE(J5)+43/1440,1),"HH:MM")</f>
        <v/>
      </c>
      <c r="K25" s="15">
        <f>TEXT(MOD(TIMEVALUE(K5)+43/1440,1),"HH:MM")</f>
        <v/>
      </c>
      <c r="L25" s="15">
        <f>TEXT(MOD(TIMEVALUE(L5)+43/1440,1),"HH:MM")</f>
        <v/>
      </c>
      <c r="M25" s="15">
        <f>TEXT(MOD(TIMEVALUE(M5)+43/1440,1),"HH:MM")</f>
        <v/>
      </c>
      <c r="N25" s="15">
        <f>TEXT(MOD(TIMEVALUE(N5)+43/1440,1),"HH:MM")</f>
        <v/>
      </c>
      <c r="O25" s="15">
        <f>TEXT(MOD(TIMEVALUE(O5)+43/1440,1),"HH:MM")</f>
        <v/>
      </c>
      <c r="P25" s="15">
        <f>TEXT(MOD(TIMEVALUE(P5)+43/1440,1),"HH:MM")</f>
        <v/>
      </c>
      <c r="Q25" s="15">
        <f>TEXT(MOD(TIMEVALUE(Q5)+43/1440,1),"HH:MM")</f>
        <v/>
      </c>
      <c r="R25" s="15">
        <f>TEXT(MOD(TIMEVALUE(R5)+43/1440,1),"HH:MM")</f>
        <v/>
      </c>
      <c r="S25" s="15">
        <f>TEXT(MOD(TIMEVALUE(S5)+43/1440,1),"HH:MM")</f>
        <v/>
      </c>
      <c r="T25" s="15">
        <f>TEXT(MOD(TIMEVALUE(T5)+43/1440,1),"HH:MM")</f>
        <v/>
      </c>
      <c r="U25" s="15">
        <f>TEXT(MOD(TIMEVALUE(U5)+43/1440,1),"HH:MM")</f>
        <v/>
      </c>
      <c r="V25" s="15">
        <f>TEXT(MOD(TIMEVALUE(V5)+43/1440,1),"HH:MM")</f>
        <v/>
      </c>
      <c r="W25" s="15">
        <f>TEXT(MOD(TIMEVALUE(W5)+43/1440,1),"HH:MM")</f>
        <v/>
      </c>
      <c r="X25" s="15">
        <f>TEXT(MOD(TIMEVALUE(X5)+43/1440,1),"HH:MM")</f>
        <v/>
      </c>
      <c r="Y25" s="15">
        <f>TEXT(MOD(TIMEVALUE(Y5)+43/1440,1),"HH:MM")</f>
        <v/>
      </c>
      <c r="Z25" s="15">
        <f>TEXT(MOD(TIMEVALUE(Z5)+43/1440,1),"HH:MM")</f>
        <v/>
      </c>
      <c r="AA25" s="15">
        <f>TEXT(MOD(TIMEVALUE(AA5)+43/1440,1),"HH:MM")</f>
        <v/>
      </c>
      <c r="AB25" s="15">
        <f>TEXT(MOD(TIMEVALUE(AB5)+43/1440,1),"HH:MM")</f>
        <v/>
      </c>
      <c r="AC25" s="15">
        <f>TEXT(MOD(TIMEVALUE(AC5)+43/1440,1),"HH:MM")</f>
        <v/>
      </c>
      <c r="AD25" s="15">
        <f>TEXT(MOD(TIMEVALUE(AD5)+43/1440,1),"HH:MM")</f>
        <v/>
      </c>
      <c r="AE25" s="15">
        <f>TEXT(MOD(TIMEVALUE(AE5)+43/1440,1),"HH:MM")</f>
        <v/>
      </c>
      <c r="AF25" s="15">
        <f>TEXT(MOD(TIMEVALUE(AF5)+43/1440,1),"HH:MM")</f>
        <v/>
      </c>
      <c r="AG25" s="15">
        <f>TEXT(MOD(TIMEVALUE(AG5)+43/1440,1),"HH:MM")</f>
        <v/>
      </c>
      <c r="AH25" s="15">
        <f>TEXT(MOD(TIMEVALUE(AH5)+43/1440,1),"HH:MM")</f>
        <v/>
      </c>
      <c r="AI25" s="15">
        <f>TEXT(MOD(TIMEVALUE(AI5)+43/1440,1),"HH:MM")</f>
        <v/>
      </c>
      <c r="AJ25" s="15">
        <f>TEXT(MOD(TIMEVALUE(AJ5)+43/1440,1),"HH:MM")</f>
        <v/>
      </c>
      <c r="AK25" s="15">
        <f>TEXT(MOD(TIMEVALUE(AK5)+43/1440,1),"HH:MM")</f>
        <v/>
      </c>
      <c r="AL25" s="15">
        <f>TEXT(MOD(TIMEVALUE(AL5)+43/1440,1),"HH:MM")</f>
        <v/>
      </c>
      <c r="AM25" s="15">
        <f>TEXT(MOD(TIMEVALUE(AM5)+43/1440,1),"HH:MM")</f>
        <v/>
      </c>
    </row>
    <row r="26" ht="16.5" customHeight="1" s="26">
      <c r="A26" s="22" t="inlineStr">
        <is>
          <t>Sargento Cabral</t>
        </is>
      </c>
      <c r="B26" s="13">
        <f>TEXT(MOD(TIMEVALUE(B5)+45/1440,1),"HH:MM")</f>
        <v/>
      </c>
      <c r="C26" s="13">
        <f>TEXT(MOD(TIMEVALUE(C5)+45/1440,1),"HH:MM")</f>
        <v/>
      </c>
      <c r="D26" s="13">
        <f>TEXT(MOD(TIMEVALUE(D5)+45/1440,1),"HH:MM")</f>
        <v/>
      </c>
      <c r="E26" s="13">
        <f>TEXT(MOD(TIMEVALUE(E5)+45/1440,1),"HH:MM")</f>
        <v/>
      </c>
      <c r="F26" s="13">
        <f>TEXT(MOD(TIMEVALUE(F5)+45/1440,1),"HH:MM")</f>
        <v/>
      </c>
      <c r="G26" s="13">
        <f>TEXT(MOD(TIMEVALUE(G5)+45/1440,1),"HH:MM")</f>
        <v/>
      </c>
      <c r="H26" s="13">
        <f>TEXT(MOD(TIMEVALUE(H5)+45/1440,1),"HH:MM")</f>
        <v/>
      </c>
      <c r="I26" s="13">
        <f>TEXT(MOD(TIMEVALUE(I5)+45/1440,1),"HH:MM")</f>
        <v/>
      </c>
      <c r="J26" s="13">
        <f>TEXT(MOD(TIMEVALUE(J5)+45/1440,1),"HH:MM")</f>
        <v/>
      </c>
      <c r="K26" s="13">
        <f>TEXT(MOD(TIMEVALUE(K5)+45/1440,1),"HH:MM")</f>
        <v/>
      </c>
      <c r="L26" s="13">
        <f>TEXT(MOD(TIMEVALUE(L5)+45/1440,1),"HH:MM")</f>
        <v/>
      </c>
      <c r="M26" s="13">
        <f>TEXT(MOD(TIMEVALUE(M5)+45/1440,1),"HH:MM")</f>
        <v/>
      </c>
      <c r="N26" s="13">
        <f>TEXT(MOD(TIMEVALUE(N5)+45/1440,1),"HH:MM")</f>
        <v/>
      </c>
      <c r="O26" s="13">
        <f>TEXT(MOD(TIMEVALUE(O5)+45/1440,1),"HH:MM")</f>
        <v/>
      </c>
      <c r="P26" s="13">
        <f>TEXT(MOD(TIMEVALUE(P5)+45/1440,1),"HH:MM")</f>
        <v/>
      </c>
      <c r="Q26" s="13">
        <f>TEXT(MOD(TIMEVALUE(Q5)+45/1440,1),"HH:MM")</f>
        <v/>
      </c>
      <c r="R26" s="13">
        <f>TEXT(MOD(TIMEVALUE(R5)+45/1440,1),"HH:MM")</f>
        <v/>
      </c>
      <c r="S26" s="13">
        <f>TEXT(MOD(TIMEVALUE(S5)+45/1440,1),"HH:MM")</f>
        <v/>
      </c>
      <c r="T26" s="13">
        <f>TEXT(MOD(TIMEVALUE(T5)+45/1440,1),"HH:MM")</f>
        <v/>
      </c>
      <c r="U26" s="13">
        <f>TEXT(MOD(TIMEVALUE(U5)+45/1440,1),"HH:MM")</f>
        <v/>
      </c>
      <c r="V26" s="13">
        <f>TEXT(MOD(TIMEVALUE(V5)+45/1440,1),"HH:MM")</f>
        <v/>
      </c>
      <c r="W26" s="13">
        <f>TEXT(MOD(TIMEVALUE(W5)+45/1440,1),"HH:MM")</f>
        <v/>
      </c>
      <c r="X26" s="13">
        <f>TEXT(MOD(TIMEVALUE(X5)+45/1440,1),"HH:MM")</f>
        <v/>
      </c>
      <c r="Y26" s="13">
        <f>TEXT(MOD(TIMEVALUE(Y5)+45/1440,1),"HH:MM")</f>
        <v/>
      </c>
      <c r="Z26" s="13">
        <f>TEXT(MOD(TIMEVALUE(Z5)+45/1440,1),"HH:MM")</f>
        <v/>
      </c>
      <c r="AA26" s="13">
        <f>TEXT(MOD(TIMEVALUE(AA5)+45/1440,1),"HH:MM")</f>
        <v/>
      </c>
      <c r="AB26" s="13">
        <f>TEXT(MOD(TIMEVALUE(AB5)+45/1440,1),"HH:MM")</f>
        <v/>
      </c>
      <c r="AC26" s="13">
        <f>TEXT(MOD(TIMEVALUE(AC5)+45/1440,1),"HH:MM")</f>
        <v/>
      </c>
      <c r="AD26" s="13">
        <f>TEXT(MOD(TIMEVALUE(AD5)+45/1440,1),"HH:MM")</f>
        <v/>
      </c>
      <c r="AE26" s="13">
        <f>TEXT(MOD(TIMEVALUE(AE5)+45/1440,1),"HH:MM")</f>
        <v/>
      </c>
      <c r="AF26" s="13">
        <f>TEXT(MOD(TIMEVALUE(AF5)+45/1440,1),"HH:MM")</f>
        <v/>
      </c>
      <c r="AG26" s="13">
        <f>TEXT(MOD(TIMEVALUE(AG5)+45/1440,1),"HH:MM")</f>
        <v/>
      </c>
      <c r="AH26" s="13">
        <f>TEXT(MOD(TIMEVALUE(AH5)+45/1440,1),"HH:MM")</f>
        <v/>
      </c>
      <c r="AI26" s="13">
        <f>TEXT(MOD(TIMEVALUE(AI5)+45/1440,1),"HH:MM")</f>
        <v/>
      </c>
      <c r="AJ26" s="13">
        <f>TEXT(MOD(TIMEVALUE(AJ5)+45/1440,1),"HH:MM")</f>
        <v/>
      </c>
      <c r="AK26" s="13">
        <f>TEXT(MOD(TIMEVALUE(AK5)+45/1440,1),"HH:MM")</f>
        <v/>
      </c>
      <c r="AL26" s="13">
        <f>TEXT(MOD(TIMEVALUE(AL5)+45/1440,1),"HH:MM")</f>
        <v/>
      </c>
      <c r="AM26" s="13">
        <f>TEXT(MOD(TIMEVALUE(AM5)+45/1440,1),"HH:MM")</f>
        <v/>
      </c>
    </row>
    <row r="27" ht="16.5" customHeight="1" s="26">
      <c r="A27" s="23" t="inlineStr">
        <is>
          <t>General Lemos</t>
        </is>
      </c>
      <c r="B27" s="15">
        <f>TEXT(MOD(TIMEVALUE(B5)+48/1440,1),"HH:MM")</f>
        <v/>
      </c>
      <c r="C27" s="15">
        <f>TEXT(MOD(TIMEVALUE(C5)+48/1440,1),"HH:MM")</f>
        <v/>
      </c>
      <c r="D27" s="15">
        <f>TEXT(MOD(TIMEVALUE(D5)+48/1440,1),"HH:MM")</f>
        <v/>
      </c>
      <c r="E27" s="15">
        <f>TEXT(MOD(TIMEVALUE(E5)+48/1440,1),"HH:MM")</f>
        <v/>
      </c>
      <c r="F27" s="15">
        <f>TEXT(MOD(TIMEVALUE(F5)+48/1440,1),"HH:MM")</f>
        <v/>
      </c>
      <c r="G27" s="15">
        <f>TEXT(MOD(TIMEVALUE(G5)+48/1440,1),"HH:MM")</f>
        <v/>
      </c>
      <c r="H27" s="15">
        <f>TEXT(MOD(TIMEVALUE(H5)+48/1440,1),"HH:MM")</f>
        <v/>
      </c>
      <c r="I27" s="15">
        <f>TEXT(MOD(TIMEVALUE(I5)+48/1440,1),"HH:MM")</f>
        <v/>
      </c>
      <c r="J27" s="15">
        <f>TEXT(MOD(TIMEVALUE(J5)+48/1440,1),"HH:MM")</f>
        <v/>
      </c>
      <c r="K27" s="15">
        <f>TEXT(MOD(TIMEVALUE(K5)+48/1440,1),"HH:MM")</f>
        <v/>
      </c>
      <c r="L27" s="15">
        <f>TEXT(MOD(TIMEVALUE(L5)+48/1440,1),"HH:MM")</f>
        <v/>
      </c>
      <c r="M27" s="15">
        <f>TEXT(MOD(TIMEVALUE(M5)+48/1440,1),"HH:MM")</f>
        <v/>
      </c>
      <c r="N27" s="15">
        <f>TEXT(MOD(TIMEVALUE(N5)+48/1440,1),"HH:MM")</f>
        <v/>
      </c>
      <c r="O27" s="15">
        <f>TEXT(MOD(TIMEVALUE(O5)+48/1440,1),"HH:MM")</f>
        <v/>
      </c>
      <c r="P27" s="15">
        <f>TEXT(MOD(TIMEVALUE(P5)+48/1440,1),"HH:MM")</f>
        <v/>
      </c>
      <c r="Q27" s="15">
        <f>TEXT(MOD(TIMEVALUE(Q5)+48/1440,1),"HH:MM")</f>
        <v/>
      </c>
      <c r="R27" s="15">
        <f>TEXT(MOD(TIMEVALUE(R5)+48/1440,1),"HH:MM")</f>
        <v/>
      </c>
      <c r="S27" s="15">
        <f>TEXT(MOD(TIMEVALUE(S5)+48/1440,1),"HH:MM")</f>
        <v/>
      </c>
      <c r="T27" s="15">
        <f>TEXT(MOD(TIMEVALUE(T5)+48/1440,1),"HH:MM")</f>
        <v/>
      </c>
      <c r="U27" s="15">
        <f>TEXT(MOD(TIMEVALUE(U5)+48/1440,1),"HH:MM")</f>
        <v/>
      </c>
      <c r="V27" s="15">
        <f>TEXT(MOD(TIMEVALUE(V5)+48/1440,1),"HH:MM")</f>
        <v/>
      </c>
      <c r="W27" s="15">
        <f>TEXT(MOD(TIMEVALUE(W5)+48/1440,1),"HH:MM")</f>
        <v/>
      </c>
      <c r="X27" s="15">
        <f>TEXT(MOD(TIMEVALUE(X5)+48/1440,1),"HH:MM")</f>
        <v/>
      </c>
      <c r="Y27" s="15">
        <f>TEXT(MOD(TIMEVALUE(Y5)+48/1440,1),"HH:MM")</f>
        <v/>
      </c>
      <c r="Z27" s="15">
        <f>TEXT(MOD(TIMEVALUE(Z5)+48/1440,1),"HH:MM")</f>
        <v/>
      </c>
      <c r="AA27" s="15">
        <f>TEXT(MOD(TIMEVALUE(AA5)+48/1440,1),"HH:MM")</f>
        <v/>
      </c>
      <c r="AB27" s="15">
        <f>TEXT(MOD(TIMEVALUE(AB5)+48/1440,1),"HH:MM")</f>
        <v/>
      </c>
      <c r="AC27" s="15">
        <f>TEXT(MOD(TIMEVALUE(AC5)+48/1440,1),"HH:MM")</f>
        <v/>
      </c>
      <c r="AD27" s="15">
        <f>TEXT(MOD(TIMEVALUE(AD5)+48/1440,1),"HH:MM")</f>
        <v/>
      </c>
      <c r="AE27" s="15">
        <f>TEXT(MOD(TIMEVALUE(AE5)+48/1440,1),"HH:MM")</f>
        <v/>
      </c>
      <c r="AF27" s="15">
        <f>TEXT(MOD(TIMEVALUE(AF5)+48/1440,1),"HH:MM")</f>
        <v/>
      </c>
      <c r="AG27" s="15">
        <f>TEXT(MOD(TIMEVALUE(AG5)+48/1440,1),"HH:MM")</f>
        <v/>
      </c>
      <c r="AH27" s="15">
        <f>TEXT(MOD(TIMEVALUE(AH5)+48/1440,1),"HH:MM")</f>
        <v/>
      </c>
      <c r="AI27" s="15">
        <f>TEXT(MOD(TIMEVALUE(AI5)+48/1440,1),"HH:MM")</f>
        <v/>
      </c>
      <c r="AJ27" s="15">
        <f>TEXT(MOD(TIMEVALUE(AJ5)+48/1440,1),"HH:MM")</f>
        <v/>
      </c>
      <c r="AK27" s="15">
        <f>TEXT(MOD(TIMEVALUE(AK5)+48/1440,1),"HH:MM")</f>
        <v/>
      </c>
      <c r="AL27" s="15">
        <f>TEXT(MOD(TIMEVALUE(AL5)+48/1440,1),"HH:MM")</f>
        <v/>
      </c>
      <c r="AM27" s="15">
        <f>TEXT(MOD(TIMEVALUE(AM5)+48/1440,1),"HH:MM")</f>
        <v/>
      </c>
    </row>
    <row r="28" ht="15.75" customHeight="1" s="26"/>
    <row r="29" ht="15.75" customHeight="1" s="26">
      <c r="A29" s="16" t="inlineStr">
        <is>
          <t>Fuente: Horario Mural Invierno 2026, Metrovías — metrovias.com.ar  |  Modificar la hora de salida en la fila de la estación de origen para recalcular todo el recorrido.</t>
        </is>
      </c>
    </row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3">
    <mergeCell ref="A2:AM2"/>
    <mergeCell ref="A29:AM29"/>
    <mergeCell ref="A1:AM1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29"/>
  <sheetViews>
    <sheetView showGridLines="0" workbookViewId="0">
      <selection activeCell="A1" sqref="A1"/>
    </sheetView>
  </sheetViews>
  <sheetFormatPr baseColWidth="8" defaultColWidth="14.43" defaultRowHeight="15" customHeight="1"/>
  <cols>
    <col width="24" customWidth="1" style="26" min="1" max="1"/>
    <col width="7" customWidth="1" style="26" min="2" max="39"/>
  </cols>
  <sheetData>
    <row r="1" ht="27.75" customHeight="1" s="26">
      <c r="A1" s="37" t="inlineStr">
        <is>
          <t>Tren Urquiza — Feriados → Lemos</t>
        </is>
      </c>
    </row>
    <row r="2" ht="15.75" customHeight="1" s="26">
      <c r="A2" s="38" t="inlineStr">
        <is>
          <t>Salida desde Federico Lacroze  |  Horario Mural Invierno 2026 — Metrovías</t>
        </is>
      </c>
    </row>
    <row r="3" ht="4.5" customHeight="1" s="26"/>
    <row r="4" ht="19.5" customHeight="1" s="26">
      <c r="A4" s="17" t="inlineStr">
        <is>
          <t>Estación</t>
        </is>
      </c>
      <c r="B4" s="18" t="inlineStr">
        <is>
          <t>01:00</t>
        </is>
      </c>
      <c r="C4" s="18" t="inlineStr">
        <is>
          <t>04:25</t>
        </is>
      </c>
      <c r="D4" s="18" t="inlineStr">
        <is>
          <t>05:15</t>
        </is>
      </c>
      <c r="E4" s="18" t="inlineStr">
        <is>
          <t>06:20</t>
        </is>
      </c>
      <c r="F4" s="18" t="inlineStr">
        <is>
          <t>06:55</t>
        </is>
      </c>
      <c r="G4" s="18" t="inlineStr">
        <is>
          <t>07:25</t>
        </is>
      </c>
      <c r="H4" s="18" t="inlineStr">
        <is>
          <t>07:55</t>
        </is>
      </c>
      <c r="I4" s="18" t="inlineStr">
        <is>
          <t>08:25</t>
        </is>
      </c>
      <c r="J4" s="18" t="inlineStr">
        <is>
          <t>08:55</t>
        </is>
      </c>
      <c r="K4" s="18" t="inlineStr">
        <is>
          <t>09:25</t>
        </is>
      </c>
      <c r="L4" s="18" t="inlineStr">
        <is>
          <t>09:55</t>
        </is>
      </c>
      <c r="M4" s="18" t="inlineStr">
        <is>
          <t>10:25</t>
        </is>
      </c>
      <c r="N4" s="18" t="inlineStr">
        <is>
          <t>10:55</t>
        </is>
      </c>
      <c r="O4" s="18" t="inlineStr">
        <is>
          <t>11:25</t>
        </is>
      </c>
      <c r="P4" s="18" t="inlineStr">
        <is>
          <t>11:55</t>
        </is>
      </c>
      <c r="Q4" s="18" t="inlineStr">
        <is>
          <t>12:25</t>
        </is>
      </c>
      <c r="R4" s="18" t="inlineStr">
        <is>
          <t>12:55</t>
        </is>
      </c>
      <c r="S4" s="18" t="inlineStr">
        <is>
          <t>13:25</t>
        </is>
      </c>
      <c r="T4" s="18" t="inlineStr">
        <is>
          <t>13:55</t>
        </is>
      </c>
      <c r="U4" s="18" t="inlineStr">
        <is>
          <t>14:25</t>
        </is>
      </c>
      <c r="V4" s="18" t="inlineStr">
        <is>
          <t>14:55</t>
        </is>
      </c>
      <c r="W4" s="18" t="inlineStr">
        <is>
          <t>15:25</t>
        </is>
      </c>
      <c r="X4" s="18" t="inlineStr">
        <is>
          <t>15:55</t>
        </is>
      </c>
      <c r="Y4" s="18" t="inlineStr">
        <is>
          <t>16:25</t>
        </is>
      </c>
      <c r="Z4" s="18" t="inlineStr">
        <is>
          <t>16:55</t>
        </is>
      </c>
      <c r="AA4" s="18" t="inlineStr">
        <is>
          <t>17:25</t>
        </is>
      </c>
      <c r="AB4" s="18" t="inlineStr">
        <is>
          <t>17:55</t>
        </is>
      </c>
      <c r="AC4" s="18" t="inlineStr">
        <is>
          <t>18:25</t>
        </is>
      </c>
      <c r="AD4" s="18" t="inlineStr">
        <is>
          <t>18:55</t>
        </is>
      </c>
      <c r="AE4" s="18" t="inlineStr">
        <is>
          <t>19:25</t>
        </is>
      </c>
      <c r="AF4" s="18" t="inlineStr">
        <is>
          <t>19:55</t>
        </is>
      </c>
      <c r="AG4" s="18" t="inlineStr">
        <is>
          <t>20:25</t>
        </is>
      </c>
      <c r="AH4" s="18" t="inlineStr">
        <is>
          <t>20:55</t>
        </is>
      </c>
      <c r="AI4" s="18" t="inlineStr">
        <is>
          <t>21:25</t>
        </is>
      </c>
      <c r="AJ4" s="18" t="inlineStr">
        <is>
          <t>21:55</t>
        </is>
      </c>
      <c r="AK4" s="18" t="inlineStr">
        <is>
          <t>22:25</t>
        </is>
      </c>
      <c r="AL4" s="18" t="inlineStr">
        <is>
          <t>22:55</t>
        </is>
      </c>
      <c r="AM4" s="18" t="inlineStr">
        <is>
          <t>23:50</t>
        </is>
      </c>
    </row>
    <row r="5" ht="16.5" customHeight="1" s="26">
      <c r="A5" s="19" t="inlineStr">
        <is>
          <t>Federico Lacroze</t>
        </is>
      </c>
      <c r="B5" s="20" t="n">
        <v>0.04166666666666666</v>
      </c>
      <c r="C5" s="21" t="inlineStr">
        <is>
          <t>04:25</t>
        </is>
      </c>
      <c r="D5" s="21" t="inlineStr">
        <is>
          <t>05:15</t>
        </is>
      </c>
      <c r="E5" s="21" t="inlineStr">
        <is>
          <t>06:20</t>
        </is>
      </c>
      <c r="F5" s="21" t="inlineStr">
        <is>
          <t>06:55</t>
        </is>
      </c>
      <c r="G5" s="21" t="inlineStr">
        <is>
          <t>07:25</t>
        </is>
      </c>
      <c r="H5" s="21" t="inlineStr">
        <is>
          <t>07:55</t>
        </is>
      </c>
      <c r="I5" s="21" t="inlineStr">
        <is>
          <t>08:25</t>
        </is>
      </c>
      <c r="J5" s="21" t="inlineStr">
        <is>
          <t>08:55</t>
        </is>
      </c>
      <c r="K5" s="21" t="inlineStr">
        <is>
          <t>09:25</t>
        </is>
      </c>
      <c r="L5" s="21" t="inlineStr">
        <is>
          <t>09:55</t>
        </is>
      </c>
      <c r="M5" s="21" t="inlineStr">
        <is>
          <t>10:25</t>
        </is>
      </c>
      <c r="N5" s="21" t="inlineStr">
        <is>
          <t>10:55</t>
        </is>
      </c>
      <c r="O5" s="21" t="inlineStr">
        <is>
          <t>11:25</t>
        </is>
      </c>
      <c r="P5" s="21" t="inlineStr">
        <is>
          <t>11:55</t>
        </is>
      </c>
      <c r="Q5" s="21" t="inlineStr">
        <is>
          <t>12:25</t>
        </is>
      </c>
      <c r="R5" s="21" t="inlineStr">
        <is>
          <t>12:55</t>
        </is>
      </c>
      <c r="S5" s="21" t="inlineStr">
        <is>
          <t>13:25</t>
        </is>
      </c>
      <c r="T5" s="21" t="inlineStr">
        <is>
          <t>13:55</t>
        </is>
      </c>
      <c r="U5" s="21" t="inlineStr">
        <is>
          <t>14:25</t>
        </is>
      </c>
      <c r="V5" s="21" t="inlineStr">
        <is>
          <t>14:55</t>
        </is>
      </c>
      <c r="W5" s="21" t="inlineStr">
        <is>
          <t>15:25</t>
        </is>
      </c>
      <c r="X5" s="21" t="inlineStr">
        <is>
          <t>15:55</t>
        </is>
      </c>
      <c r="Y5" s="21" t="inlineStr">
        <is>
          <t>16:25</t>
        </is>
      </c>
      <c r="Z5" s="21" t="inlineStr">
        <is>
          <t>16:55</t>
        </is>
      </c>
      <c r="AA5" s="21" t="inlineStr">
        <is>
          <t>17:25</t>
        </is>
      </c>
      <c r="AB5" s="21" t="inlineStr">
        <is>
          <t>17:55</t>
        </is>
      </c>
      <c r="AC5" s="21" t="inlineStr">
        <is>
          <t>18:25</t>
        </is>
      </c>
      <c r="AD5" s="21" t="inlineStr">
        <is>
          <t>18:55</t>
        </is>
      </c>
      <c r="AE5" s="21" t="inlineStr">
        <is>
          <t>19:25</t>
        </is>
      </c>
      <c r="AF5" s="21" t="inlineStr">
        <is>
          <t>19:55</t>
        </is>
      </c>
      <c r="AG5" s="21" t="inlineStr">
        <is>
          <t>20:25</t>
        </is>
      </c>
      <c r="AH5" s="21" t="inlineStr">
        <is>
          <t>20:55</t>
        </is>
      </c>
      <c r="AI5" s="21" t="inlineStr">
        <is>
          <t>21:25</t>
        </is>
      </c>
      <c r="AJ5" s="21" t="inlineStr">
        <is>
          <t>21:55</t>
        </is>
      </c>
      <c r="AK5" s="21" t="inlineStr">
        <is>
          <t>22:25</t>
        </is>
      </c>
      <c r="AL5" s="21" t="inlineStr">
        <is>
          <t>22:55</t>
        </is>
      </c>
      <c r="AM5" s="21" t="inlineStr">
        <is>
          <t>23:50</t>
        </is>
      </c>
    </row>
    <row r="6" ht="16.5" customHeight="1" s="26">
      <c r="A6" s="22" t="inlineStr">
        <is>
          <t>José Artigas</t>
        </is>
      </c>
      <c r="B6" s="13">
        <f>TEXT(MOD(TIMEVALUE(B5)+3/1440,1),"HH:MM")</f>
        <v/>
      </c>
      <c r="C6" s="13">
        <f>TEXT(MOD(TIMEVALUE(C5)+3/1440,1),"HH:MM")</f>
        <v/>
      </c>
      <c r="D6" s="13">
        <f>TEXT(MOD(TIMEVALUE(D5)+3/1440,1),"HH:MM")</f>
        <v/>
      </c>
      <c r="E6" s="13">
        <f>TEXT(MOD(TIMEVALUE(E5)+3/1440,1),"HH:MM")</f>
        <v/>
      </c>
      <c r="F6" s="13">
        <f>TEXT(MOD(TIMEVALUE(F5)+3/1440,1),"HH:MM")</f>
        <v/>
      </c>
      <c r="G6" s="13">
        <f>TEXT(MOD(TIMEVALUE(G5)+3/1440,1),"HH:MM")</f>
        <v/>
      </c>
      <c r="H6" s="13">
        <f>TEXT(MOD(TIMEVALUE(H5)+3/1440,1),"HH:MM")</f>
        <v/>
      </c>
      <c r="I6" s="13">
        <f>TEXT(MOD(TIMEVALUE(I5)+3/1440,1),"HH:MM")</f>
        <v/>
      </c>
      <c r="J6" s="13">
        <f>TEXT(MOD(TIMEVALUE(J5)+3/1440,1),"HH:MM")</f>
        <v/>
      </c>
      <c r="K6" s="13">
        <f>TEXT(MOD(TIMEVALUE(K5)+3/1440,1),"HH:MM")</f>
        <v/>
      </c>
      <c r="L6" s="13">
        <f>TEXT(MOD(TIMEVALUE(L5)+3/1440,1),"HH:MM")</f>
        <v/>
      </c>
      <c r="M6" s="13">
        <f>TEXT(MOD(TIMEVALUE(M5)+3/1440,1),"HH:MM")</f>
        <v/>
      </c>
      <c r="N6" s="13">
        <f>TEXT(MOD(TIMEVALUE(N5)+3/1440,1),"HH:MM")</f>
        <v/>
      </c>
      <c r="O6" s="13">
        <f>TEXT(MOD(TIMEVALUE(O5)+3/1440,1),"HH:MM")</f>
        <v/>
      </c>
      <c r="P6" s="13">
        <f>TEXT(MOD(TIMEVALUE(P5)+3/1440,1),"HH:MM")</f>
        <v/>
      </c>
      <c r="Q6" s="13">
        <f>TEXT(MOD(TIMEVALUE(Q5)+3/1440,1),"HH:MM")</f>
        <v/>
      </c>
      <c r="R6" s="13">
        <f>TEXT(MOD(TIMEVALUE(R5)+3/1440,1),"HH:MM")</f>
        <v/>
      </c>
      <c r="S6" s="13">
        <f>TEXT(MOD(TIMEVALUE(S5)+3/1440,1),"HH:MM")</f>
        <v/>
      </c>
      <c r="T6" s="13">
        <f>TEXT(MOD(TIMEVALUE(T5)+3/1440,1),"HH:MM")</f>
        <v/>
      </c>
      <c r="U6" s="13">
        <f>TEXT(MOD(TIMEVALUE(U5)+3/1440,1),"HH:MM")</f>
        <v/>
      </c>
      <c r="V6" s="13">
        <f>TEXT(MOD(TIMEVALUE(V5)+3/1440,1),"HH:MM")</f>
        <v/>
      </c>
      <c r="W6" s="13">
        <f>TEXT(MOD(TIMEVALUE(W5)+3/1440,1),"HH:MM")</f>
        <v/>
      </c>
      <c r="X6" s="13">
        <f>TEXT(MOD(TIMEVALUE(X5)+3/1440,1),"HH:MM")</f>
        <v/>
      </c>
      <c r="Y6" s="13">
        <f>TEXT(MOD(TIMEVALUE(Y5)+3/1440,1),"HH:MM")</f>
        <v/>
      </c>
      <c r="Z6" s="13">
        <f>TEXT(MOD(TIMEVALUE(Z5)+3/1440,1),"HH:MM")</f>
        <v/>
      </c>
      <c r="AA6" s="13">
        <f>TEXT(MOD(TIMEVALUE(AA5)+3/1440,1),"HH:MM")</f>
        <v/>
      </c>
      <c r="AB6" s="13">
        <f>TEXT(MOD(TIMEVALUE(AB5)+3/1440,1),"HH:MM")</f>
        <v/>
      </c>
      <c r="AC6" s="13">
        <f>TEXT(MOD(TIMEVALUE(AC5)+3/1440,1),"HH:MM")</f>
        <v/>
      </c>
      <c r="AD6" s="13">
        <f>TEXT(MOD(TIMEVALUE(AD5)+3/1440,1),"HH:MM")</f>
        <v/>
      </c>
      <c r="AE6" s="13">
        <f>TEXT(MOD(TIMEVALUE(AE5)+3/1440,1),"HH:MM")</f>
        <v/>
      </c>
      <c r="AF6" s="13">
        <f>TEXT(MOD(TIMEVALUE(AF5)+3/1440,1),"HH:MM")</f>
        <v/>
      </c>
      <c r="AG6" s="13">
        <f>TEXT(MOD(TIMEVALUE(AG5)+3/1440,1),"HH:MM")</f>
        <v/>
      </c>
      <c r="AH6" s="13">
        <f>TEXT(MOD(TIMEVALUE(AH5)+3/1440,1),"HH:MM")</f>
        <v/>
      </c>
      <c r="AI6" s="13">
        <f>TEXT(MOD(TIMEVALUE(AI5)+3/1440,1),"HH:MM")</f>
        <v/>
      </c>
      <c r="AJ6" s="13">
        <f>TEXT(MOD(TIMEVALUE(AJ5)+3/1440,1),"HH:MM")</f>
        <v/>
      </c>
      <c r="AK6" s="13">
        <f>TEXT(MOD(TIMEVALUE(AK5)+3/1440,1),"HH:MM")</f>
        <v/>
      </c>
      <c r="AL6" s="13">
        <f>TEXT(MOD(TIMEVALUE(AL5)+3/1440,1),"HH:MM")</f>
        <v/>
      </c>
      <c r="AM6" s="13">
        <f>TEXT(MOD(TIMEVALUE(AM5)+3/1440,1),"HH:MM")</f>
        <v/>
      </c>
    </row>
    <row r="7" ht="16.5" customHeight="1" s="26">
      <c r="A7" s="23" t="inlineStr">
        <is>
          <t>Pedro N. Arata</t>
        </is>
      </c>
      <c r="B7" s="15">
        <f>TEXT(MOD(TIMEVALUE(B5)+5/1440,1),"HH:MM")</f>
        <v/>
      </c>
      <c r="C7" s="15">
        <f>TEXT(MOD(TIMEVALUE(C5)+5/1440,1),"HH:MM")</f>
        <v/>
      </c>
      <c r="D7" s="15">
        <f>TEXT(MOD(TIMEVALUE(D5)+5/1440,1),"HH:MM")</f>
        <v/>
      </c>
      <c r="E7" s="15">
        <f>TEXT(MOD(TIMEVALUE(E5)+5/1440,1),"HH:MM")</f>
        <v/>
      </c>
      <c r="F7" s="15">
        <f>TEXT(MOD(TIMEVALUE(F5)+5/1440,1),"HH:MM")</f>
        <v/>
      </c>
      <c r="G7" s="15">
        <f>TEXT(MOD(TIMEVALUE(G5)+5/1440,1),"HH:MM")</f>
        <v/>
      </c>
      <c r="H7" s="15">
        <f>TEXT(MOD(TIMEVALUE(H5)+5/1440,1),"HH:MM")</f>
        <v/>
      </c>
      <c r="I7" s="15">
        <f>TEXT(MOD(TIMEVALUE(I5)+5/1440,1),"HH:MM")</f>
        <v/>
      </c>
      <c r="J7" s="15">
        <f>TEXT(MOD(TIMEVALUE(J5)+5/1440,1),"HH:MM")</f>
        <v/>
      </c>
      <c r="K7" s="15">
        <f>TEXT(MOD(TIMEVALUE(K5)+5/1440,1),"HH:MM")</f>
        <v/>
      </c>
      <c r="L7" s="15">
        <f>TEXT(MOD(TIMEVALUE(L5)+5/1440,1),"HH:MM")</f>
        <v/>
      </c>
      <c r="M7" s="15">
        <f>TEXT(MOD(TIMEVALUE(M5)+5/1440,1),"HH:MM")</f>
        <v/>
      </c>
      <c r="N7" s="15">
        <f>TEXT(MOD(TIMEVALUE(N5)+5/1440,1),"HH:MM")</f>
        <v/>
      </c>
      <c r="O7" s="15">
        <f>TEXT(MOD(TIMEVALUE(O5)+5/1440,1),"HH:MM")</f>
        <v/>
      </c>
      <c r="P7" s="15">
        <f>TEXT(MOD(TIMEVALUE(P5)+5/1440,1),"HH:MM")</f>
        <v/>
      </c>
      <c r="Q7" s="15">
        <f>TEXT(MOD(TIMEVALUE(Q5)+5/1440,1),"HH:MM")</f>
        <v/>
      </c>
      <c r="R7" s="15">
        <f>TEXT(MOD(TIMEVALUE(R5)+5/1440,1),"HH:MM")</f>
        <v/>
      </c>
      <c r="S7" s="15">
        <f>TEXT(MOD(TIMEVALUE(S5)+5/1440,1),"HH:MM")</f>
        <v/>
      </c>
      <c r="T7" s="15">
        <f>TEXT(MOD(TIMEVALUE(T5)+5/1440,1),"HH:MM")</f>
        <v/>
      </c>
      <c r="U7" s="15">
        <f>TEXT(MOD(TIMEVALUE(U5)+5/1440,1),"HH:MM")</f>
        <v/>
      </c>
      <c r="V7" s="15">
        <f>TEXT(MOD(TIMEVALUE(V5)+5/1440,1),"HH:MM")</f>
        <v/>
      </c>
      <c r="W7" s="15">
        <f>TEXT(MOD(TIMEVALUE(W5)+5/1440,1),"HH:MM")</f>
        <v/>
      </c>
      <c r="X7" s="15">
        <f>TEXT(MOD(TIMEVALUE(X5)+5/1440,1),"HH:MM")</f>
        <v/>
      </c>
      <c r="Y7" s="15">
        <f>TEXT(MOD(TIMEVALUE(Y5)+5/1440,1),"HH:MM")</f>
        <v/>
      </c>
      <c r="Z7" s="15">
        <f>TEXT(MOD(TIMEVALUE(Z5)+5/1440,1),"HH:MM")</f>
        <v/>
      </c>
      <c r="AA7" s="15">
        <f>TEXT(MOD(TIMEVALUE(AA5)+5/1440,1),"HH:MM")</f>
        <v/>
      </c>
      <c r="AB7" s="15">
        <f>TEXT(MOD(TIMEVALUE(AB5)+5/1440,1),"HH:MM")</f>
        <v/>
      </c>
      <c r="AC7" s="15">
        <f>TEXT(MOD(TIMEVALUE(AC5)+5/1440,1),"HH:MM")</f>
        <v/>
      </c>
      <c r="AD7" s="15">
        <f>TEXT(MOD(TIMEVALUE(AD5)+5/1440,1),"HH:MM")</f>
        <v/>
      </c>
      <c r="AE7" s="15">
        <f>TEXT(MOD(TIMEVALUE(AE5)+5/1440,1),"HH:MM")</f>
        <v/>
      </c>
      <c r="AF7" s="15">
        <f>TEXT(MOD(TIMEVALUE(AF5)+5/1440,1),"HH:MM")</f>
        <v/>
      </c>
      <c r="AG7" s="15">
        <f>TEXT(MOD(TIMEVALUE(AG5)+5/1440,1),"HH:MM")</f>
        <v/>
      </c>
      <c r="AH7" s="15">
        <f>TEXT(MOD(TIMEVALUE(AH5)+5/1440,1),"HH:MM")</f>
        <v/>
      </c>
      <c r="AI7" s="15">
        <f>TEXT(MOD(TIMEVALUE(AI5)+5/1440,1),"HH:MM")</f>
        <v/>
      </c>
      <c r="AJ7" s="15">
        <f>TEXT(MOD(TIMEVALUE(AJ5)+5/1440,1),"HH:MM")</f>
        <v/>
      </c>
      <c r="AK7" s="15">
        <f>TEXT(MOD(TIMEVALUE(AK5)+5/1440,1),"HH:MM")</f>
        <v/>
      </c>
      <c r="AL7" s="15">
        <f>TEXT(MOD(TIMEVALUE(AL5)+5/1440,1),"HH:MM")</f>
        <v/>
      </c>
      <c r="AM7" s="15">
        <f>TEXT(MOD(TIMEVALUE(AM5)+5/1440,1),"HH:MM")</f>
        <v/>
      </c>
    </row>
    <row r="8" ht="16.5" customHeight="1" s="26">
      <c r="A8" s="22" t="inlineStr">
        <is>
          <t>Dr. Fco. Beiró</t>
        </is>
      </c>
      <c r="B8" s="13">
        <f>TEXT(MOD(TIMEVALUE(B5)+7/1440,1),"HH:MM")</f>
        <v/>
      </c>
      <c r="C8" s="13">
        <f>TEXT(MOD(TIMEVALUE(C5)+7/1440,1),"HH:MM")</f>
        <v/>
      </c>
      <c r="D8" s="13">
        <f>TEXT(MOD(TIMEVALUE(D5)+7/1440,1),"HH:MM")</f>
        <v/>
      </c>
      <c r="E8" s="13">
        <f>TEXT(MOD(TIMEVALUE(E5)+7/1440,1),"HH:MM")</f>
        <v/>
      </c>
      <c r="F8" s="13">
        <f>TEXT(MOD(TIMEVALUE(F5)+7/1440,1),"HH:MM")</f>
        <v/>
      </c>
      <c r="G8" s="13">
        <f>TEXT(MOD(TIMEVALUE(G5)+7/1440,1),"HH:MM")</f>
        <v/>
      </c>
      <c r="H8" s="13">
        <f>TEXT(MOD(TIMEVALUE(H5)+7/1440,1),"HH:MM")</f>
        <v/>
      </c>
      <c r="I8" s="13">
        <f>TEXT(MOD(TIMEVALUE(I5)+7/1440,1),"HH:MM")</f>
        <v/>
      </c>
      <c r="J8" s="13">
        <f>TEXT(MOD(TIMEVALUE(J5)+7/1440,1),"HH:MM")</f>
        <v/>
      </c>
      <c r="K8" s="13">
        <f>TEXT(MOD(TIMEVALUE(K5)+7/1440,1),"HH:MM")</f>
        <v/>
      </c>
      <c r="L8" s="13">
        <f>TEXT(MOD(TIMEVALUE(L5)+7/1440,1),"HH:MM")</f>
        <v/>
      </c>
      <c r="M8" s="13">
        <f>TEXT(MOD(TIMEVALUE(M5)+7/1440,1),"HH:MM")</f>
        <v/>
      </c>
      <c r="N8" s="13">
        <f>TEXT(MOD(TIMEVALUE(N5)+7/1440,1),"HH:MM")</f>
        <v/>
      </c>
      <c r="O8" s="13">
        <f>TEXT(MOD(TIMEVALUE(O5)+7/1440,1),"HH:MM")</f>
        <v/>
      </c>
      <c r="P8" s="13">
        <f>TEXT(MOD(TIMEVALUE(P5)+7/1440,1),"HH:MM")</f>
        <v/>
      </c>
      <c r="Q8" s="13">
        <f>TEXT(MOD(TIMEVALUE(Q5)+7/1440,1),"HH:MM")</f>
        <v/>
      </c>
      <c r="R8" s="13">
        <f>TEXT(MOD(TIMEVALUE(R5)+7/1440,1),"HH:MM")</f>
        <v/>
      </c>
      <c r="S8" s="13">
        <f>TEXT(MOD(TIMEVALUE(S5)+7/1440,1),"HH:MM")</f>
        <v/>
      </c>
      <c r="T8" s="13">
        <f>TEXT(MOD(TIMEVALUE(T5)+7/1440,1),"HH:MM")</f>
        <v/>
      </c>
      <c r="U8" s="13">
        <f>TEXT(MOD(TIMEVALUE(U5)+7/1440,1),"HH:MM")</f>
        <v/>
      </c>
      <c r="V8" s="13">
        <f>TEXT(MOD(TIMEVALUE(V5)+7/1440,1),"HH:MM")</f>
        <v/>
      </c>
      <c r="W8" s="13">
        <f>TEXT(MOD(TIMEVALUE(W5)+7/1440,1),"HH:MM")</f>
        <v/>
      </c>
      <c r="X8" s="13">
        <f>TEXT(MOD(TIMEVALUE(X5)+7/1440,1),"HH:MM")</f>
        <v/>
      </c>
      <c r="Y8" s="13">
        <f>TEXT(MOD(TIMEVALUE(Y5)+7/1440,1),"HH:MM")</f>
        <v/>
      </c>
      <c r="Z8" s="13">
        <f>TEXT(MOD(TIMEVALUE(Z5)+7/1440,1),"HH:MM")</f>
        <v/>
      </c>
      <c r="AA8" s="13">
        <f>TEXT(MOD(TIMEVALUE(AA5)+7/1440,1),"HH:MM")</f>
        <v/>
      </c>
      <c r="AB8" s="13">
        <f>TEXT(MOD(TIMEVALUE(AB5)+7/1440,1),"HH:MM")</f>
        <v/>
      </c>
      <c r="AC8" s="13">
        <f>TEXT(MOD(TIMEVALUE(AC5)+7/1440,1),"HH:MM")</f>
        <v/>
      </c>
      <c r="AD8" s="13">
        <f>TEXT(MOD(TIMEVALUE(AD5)+7/1440,1),"HH:MM")</f>
        <v/>
      </c>
      <c r="AE8" s="13">
        <f>TEXT(MOD(TIMEVALUE(AE5)+7/1440,1),"HH:MM")</f>
        <v/>
      </c>
      <c r="AF8" s="13">
        <f>TEXT(MOD(TIMEVALUE(AF5)+7/1440,1),"HH:MM")</f>
        <v/>
      </c>
      <c r="AG8" s="13">
        <f>TEXT(MOD(TIMEVALUE(AG5)+7/1440,1),"HH:MM")</f>
        <v/>
      </c>
      <c r="AH8" s="13">
        <f>TEXT(MOD(TIMEVALUE(AH5)+7/1440,1),"HH:MM")</f>
        <v/>
      </c>
      <c r="AI8" s="13">
        <f>TEXT(MOD(TIMEVALUE(AI5)+7/1440,1),"HH:MM")</f>
        <v/>
      </c>
      <c r="AJ8" s="13">
        <f>TEXT(MOD(TIMEVALUE(AJ5)+7/1440,1),"HH:MM")</f>
        <v/>
      </c>
      <c r="AK8" s="13">
        <f>TEXT(MOD(TIMEVALUE(AK5)+7/1440,1),"HH:MM")</f>
        <v/>
      </c>
      <c r="AL8" s="13">
        <f>TEXT(MOD(TIMEVALUE(AL5)+7/1440,1),"HH:MM")</f>
        <v/>
      </c>
      <c r="AM8" s="13">
        <f>TEXT(MOD(TIMEVALUE(AM5)+7/1440,1),"HH:MM")</f>
        <v/>
      </c>
    </row>
    <row r="9" ht="16.5" customHeight="1" s="26">
      <c r="A9" s="23" t="inlineStr">
        <is>
          <t>El Libertador</t>
        </is>
      </c>
      <c r="B9" s="15">
        <f>TEXT(MOD(TIMEVALUE(B5)+9/1440,1),"HH:MM")</f>
        <v/>
      </c>
      <c r="C9" s="15">
        <f>TEXT(MOD(TIMEVALUE(C5)+9/1440,1),"HH:MM")</f>
        <v/>
      </c>
      <c r="D9" s="15">
        <f>TEXT(MOD(TIMEVALUE(D5)+9/1440,1),"HH:MM")</f>
        <v/>
      </c>
      <c r="E9" s="15">
        <f>TEXT(MOD(TIMEVALUE(E5)+9/1440,1),"HH:MM")</f>
        <v/>
      </c>
      <c r="F9" s="15">
        <f>TEXT(MOD(TIMEVALUE(F5)+9/1440,1),"HH:MM")</f>
        <v/>
      </c>
      <c r="G9" s="15">
        <f>TEXT(MOD(TIMEVALUE(G5)+9/1440,1),"HH:MM")</f>
        <v/>
      </c>
      <c r="H9" s="15">
        <f>TEXT(MOD(TIMEVALUE(H5)+9/1440,1),"HH:MM")</f>
        <v/>
      </c>
      <c r="I9" s="15">
        <f>TEXT(MOD(TIMEVALUE(I5)+9/1440,1),"HH:MM")</f>
        <v/>
      </c>
      <c r="J9" s="15">
        <f>TEXT(MOD(TIMEVALUE(J5)+9/1440,1),"HH:MM")</f>
        <v/>
      </c>
      <c r="K9" s="15">
        <f>TEXT(MOD(TIMEVALUE(K5)+9/1440,1),"HH:MM")</f>
        <v/>
      </c>
      <c r="L9" s="15">
        <f>TEXT(MOD(TIMEVALUE(L5)+9/1440,1),"HH:MM")</f>
        <v/>
      </c>
      <c r="M9" s="15">
        <f>TEXT(MOD(TIMEVALUE(M5)+9/1440,1),"HH:MM")</f>
        <v/>
      </c>
      <c r="N9" s="15">
        <f>TEXT(MOD(TIMEVALUE(N5)+9/1440,1),"HH:MM")</f>
        <v/>
      </c>
      <c r="O9" s="15">
        <f>TEXT(MOD(TIMEVALUE(O5)+9/1440,1),"HH:MM")</f>
        <v/>
      </c>
      <c r="P9" s="15">
        <f>TEXT(MOD(TIMEVALUE(P5)+9/1440,1),"HH:MM")</f>
        <v/>
      </c>
      <c r="Q9" s="15">
        <f>TEXT(MOD(TIMEVALUE(Q5)+9/1440,1),"HH:MM")</f>
        <v/>
      </c>
      <c r="R9" s="15">
        <f>TEXT(MOD(TIMEVALUE(R5)+9/1440,1),"HH:MM")</f>
        <v/>
      </c>
      <c r="S9" s="15">
        <f>TEXT(MOD(TIMEVALUE(S5)+9/1440,1),"HH:MM")</f>
        <v/>
      </c>
      <c r="T9" s="15">
        <f>TEXT(MOD(TIMEVALUE(T5)+9/1440,1),"HH:MM")</f>
        <v/>
      </c>
      <c r="U9" s="15">
        <f>TEXT(MOD(TIMEVALUE(U5)+9/1440,1),"HH:MM")</f>
        <v/>
      </c>
      <c r="V9" s="15">
        <f>TEXT(MOD(TIMEVALUE(V5)+9/1440,1),"HH:MM")</f>
        <v/>
      </c>
      <c r="W9" s="15">
        <f>TEXT(MOD(TIMEVALUE(W5)+9/1440,1),"HH:MM")</f>
        <v/>
      </c>
      <c r="X9" s="15">
        <f>TEXT(MOD(TIMEVALUE(X5)+9/1440,1),"HH:MM")</f>
        <v/>
      </c>
      <c r="Y9" s="15">
        <f>TEXT(MOD(TIMEVALUE(Y5)+9/1440,1),"HH:MM")</f>
        <v/>
      </c>
      <c r="Z9" s="15">
        <f>TEXT(MOD(TIMEVALUE(Z5)+9/1440,1),"HH:MM")</f>
        <v/>
      </c>
      <c r="AA9" s="15">
        <f>TEXT(MOD(TIMEVALUE(AA5)+9/1440,1),"HH:MM")</f>
        <v/>
      </c>
      <c r="AB9" s="15">
        <f>TEXT(MOD(TIMEVALUE(AB5)+9/1440,1),"HH:MM")</f>
        <v/>
      </c>
      <c r="AC9" s="15">
        <f>TEXT(MOD(TIMEVALUE(AC5)+9/1440,1),"HH:MM")</f>
        <v/>
      </c>
      <c r="AD9" s="15">
        <f>TEXT(MOD(TIMEVALUE(AD5)+9/1440,1),"HH:MM")</f>
        <v/>
      </c>
      <c r="AE9" s="15">
        <f>TEXT(MOD(TIMEVALUE(AE5)+9/1440,1),"HH:MM")</f>
        <v/>
      </c>
      <c r="AF9" s="15">
        <f>TEXT(MOD(TIMEVALUE(AF5)+9/1440,1),"HH:MM")</f>
        <v/>
      </c>
      <c r="AG9" s="15">
        <f>TEXT(MOD(TIMEVALUE(AG5)+9/1440,1),"HH:MM")</f>
        <v/>
      </c>
      <c r="AH9" s="15">
        <f>TEXT(MOD(TIMEVALUE(AH5)+9/1440,1),"HH:MM")</f>
        <v/>
      </c>
      <c r="AI9" s="15">
        <f>TEXT(MOD(TIMEVALUE(AI5)+9/1440,1),"HH:MM")</f>
        <v/>
      </c>
      <c r="AJ9" s="15">
        <f>TEXT(MOD(TIMEVALUE(AJ5)+9/1440,1),"HH:MM")</f>
        <v/>
      </c>
      <c r="AK9" s="15">
        <f>TEXT(MOD(TIMEVALUE(AK5)+9/1440,1),"HH:MM")</f>
        <v/>
      </c>
      <c r="AL9" s="15">
        <f>TEXT(MOD(TIMEVALUE(AL5)+9/1440,1),"HH:MM")</f>
        <v/>
      </c>
      <c r="AM9" s="15">
        <f>TEXT(MOD(TIMEVALUE(AM5)+9/1440,1),"HH:MM")</f>
        <v/>
      </c>
    </row>
    <row r="10" ht="16.5" customHeight="1" s="26">
      <c r="A10" s="22" t="inlineStr">
        <is>
          <t>Antonio Devoto</t>
        </is>
      </c>
      <c r="B10" s="13">
        <f>TEXT(MOD(TIMEVALUE(B5)+11/1440,1),"HH:MM")</f>
        <v/>
      </c>
      <c r="C10" s="13">
        <f>TEXT(MOD(TIMEVALUE(C5)+11/1440,1),"HH:MM")</f>
        <v/>
      </c>
      <c r="D10" s="13">
        <f>TEXT(MOD(TIMEVALUE(D5)+11/1440,1),"HH:MM")</f>
        <v/>
      </c>
      <c r="E10" s="13">
        <f>TEXT(MOD(TIMEVALUE(E5)+11/1440,1),"HH:MM")</f>
        <v/>
      </c>
      <c r="F10" s="13">
        <f>TEXT(MOD(TIMEVALUE(F5)+11/1440,1),"HH:MM")</f>
        <v/>
      </c>
      <c r="G10" s="13">
        <f>TEXT(MOD(TIMEVALUE(G5)+11/1440,1),"HH:MM")</f>
        <v/>
      </c>
      <c r="H10" s="13">
        <f>TEXT(MOD(TIMEVALUE(H5)+11/1440,1),"HH:MM")</f>
        <v/>
      </c>
      <c r="I10" s="13">
        <f>TEXT(MOD(TIMEVALUE(I5)+11/1440,1),"HH:MM")</f>
        <v/>
      </c>
      <c r="J10" s="13">
        <f>TEXT(MOD(TIMEVALUE(J5)+11/1440,1),"HH:MM")</f>
        <v/>
      </c>
      <c r="K10" s="13">
        <f>TEXT(MOD(TIMEVALUE(K5)+11/1440,1),"HH:MM")</f>
        <v/>
      </c>
      <c r="L10" s="13">
        <f>TEXT(MOD(TIMEVALUE(L5)+11/1440,1),"HH:MM")</f>
        <v/>
      </c>
      <c r="M10" s="13">
        <f>TEXT(MOD(TIMEVALUE(M5)+11/1440,1),"HH:MM")</f>
        <v/>
      </c>
      <c r="N10" s="13">
        <f>TEXT(MOD(TIMEVALUE(N5)+11/1440,1),"HH:MM")</f>
        <v/>
      </c>
      <c r="O10" s="13">
        <f>TEXT(MOD(TIMEVALUE(O5)+11/1440,1),"HH:MM")</f>
        <v/>
      </c>
      <c r="P10" s="13">
        <f>TEXT(MOD(TIMEVALUE(P5)+11/1440,1),"HH:MM")</f>
        <v/>
      </c>
      <c r="Q10" s="13">
        <f>TEXT(MOD(TIMEVALUE(Q5)+11/1440,1),"HH:MM")</f>
        <v/>
      </c>
      <c r="R10" s="13">
        <f>TEXT(MOD(TIMEVALUE(R5)+11/1440,1),"HH:MM")</f>
        <v/>
      </c>
      <c r="S10" s="13">
        <f>TEXT(MOD(TIMEVALUE(S5)+11/1440,1),"HH:MM")</f>
        <v/>
      </c>
      <c r="T10" s="13">
        <f>TEXT(MOD(TIMEVALUE(T5)+11/1440,1),"HH:MM")</f>
        <v/>
      </c>
      <c r="U10" s="13">
        <f>TEXT(MOD(TIMEVALUE(U5)+11/1440,1),"HH:MM")</f>
        <v/>
      </c>
      <c r="V10" s="13">
        <f>TEXT(MOD(TIMEVALUE(V5)+11/1440,1),"HH:MM")</f>
        <v/>
      </c>
      <c r="W10" s="13">
        <f>TEXT(MOD(TIMEVALUE(W5)+11/1440,1),"HH:MM")</f>
        <v/>
      </c>
      <c r="X10" s="13">
        <f>TEXT(MOD(TIMEVALUE(X5)+11/1440,1),"HH:MM")</f>
        <v/>
      </c>
      <c r="Y10" s="13">
        <f>TEXT(MOD(TIMEVALUE(Y5)+11/1440,1),"HH:MM")</f>
        <v/>
      </c>
      <c r="Z10" s="13">
        <f>TEXT(MOD(TIMEVALUE(Z5)+11/1440,1),"HH:MM")</f>
        <v/>
      </c>
      <c r="AA10" s="13">
        <f>TEXT(MOD(TIMEVALUE(AA5)+11/1440,1),"HH:MM")</f>
        <v/>
      </c>
      <c r="AB10" s="13">
        <f>TEXT(MOD(TIMEVALUE(AB5)+11/1440,1),"HH:MM")</f>
        <v/>
      </c>
      <c r="AC10" s="13">
        <f>TEXT(MOD(TIMEVALUE(AC5)+11/1440,1),"HH:MM")</f>
        <v/>
      </c>
      <c r="AD10" s="13">
        <f>TEXT(MOD(TIMEVALUE(AD5)+11/1440,1),"HH:MM")</f>
        <v/>
      </c>
      <c r="AE10" s="13">
        <f>TEXT(MOD(TIMEVALUE(AE5)+11/1440,1),"HH:MM")</f>
        <v/>
      </c>
      <c r="AF10" s="13">
        <f>TEXT(MOD(TIMEVALUE(AF5)+11/1440,1),"HH:MM")</f>
        <v/>
      </c>
      <c r="AG10" s="13">
        <f>TEXT(MOD(TIMEVALUE(AG5)+11/1440,1),"HH:MM")</f>
        <v/>
      </c>
      <c r="AH10" s="13">
        <f>TEXT(MOD(TIMEVALUE(AH5)+11/1440,1),"HH:MM")</f>
        <v/>
      </c>
      <c r="AI10" s="13">
        <f>TEXT(MOD(TIMEVALUE(AI5)+11/1440,1),"HH:MM")</f>
        <v/>
      </c>
      <c r="AJ10" s="13">
        <f>TEXT(MOD(TIMEVALUE(AJ5)+11/1440,1),"HH:MM")</f>
        <v/>
      </c>
      <c r="AK10" s="13">
        <f>TEXT(MOD(TIMEVALUE(AK5)+11/1440,1),"HH:MM")</f>
        <v/>
      </c>
      <c r="AL10" s="13">
        <f>TEXT(MOD(TIMEVALUE(AL5)+11/1440,1),"HH:MM")</f>
        <v/>
      </c>
      <c r="AM10" s="13">
        <f>TEXT(MOD(TIMEVALUE(AM5)+11/1440,1),"HH:MM")</f>
        <v/>
      </c>
    </row>
    <row r="11" ht="16.5" customHeight="1" s="26">
      <c r="A11" s="23" t="inlineStr">
        <is>
          <t>Cnel. Fco. Lynch</t>
        </is>
      </c>
      <c r="B11" s="15">
        <f>TEXT(MOD(TIMEVALUE(B5)+13/1440,1),"HH:MM")</f>
        <v/>
      </c>
      <c r="C11" s="15">
        <f>TEXT(MOD(TIMEVALUE(C5)+13/1440,1),"HH:MM")</f>
        <v/>
      </c>
      <c r="D11" s="15">
        <f>TEXT(MOD(TIMEVALUE(D5)+13/1440,1),"HH:MM")</f>
        <v/>
      </c>
      <c r="E11" s="15">
        <f>TEXT(MOD(TIMEVALUE(E5)+13/1440,1),"HH:MM")</f>
        <v/>
      </c>
      <c r="F11" s="15">
        <f>TEXT(MOD(TIMEVALUE(F5)+13/1440,1),"HH:MM")</f>
        <v/>
      </c>
      <c r="G11" s="15">
        <f>TEXT(MOD(TIMEVALUE(G5)+13/1440,1),"HH:MM")</f>
        <v/>
      </c>
      <c r="H11" s="15">
        <f>TEXT(MOD(TIMEVALUE(H5)+13/1440,1),"HH:MM")</f>
        <v/>
      </c>
      <c r="I11" s="15">
        <f>TEXT(MOD(TIMEVALUE(I5)+13/1440,1),"HH:MM")</f>
        <v/>
      </c>
      <c r="J11" s="15">
        <f>TEXT(MOD(TIMEVALUE(J5)+13/1440,1),"HH:MM")</f>
        <v/>
      </c>
      <c r="K11" s="15">
        <f>TEXT(MOD(TIMEVALUE(K5)+13/1440,1),"HH:MM")</f>
        <v/>
      </c>
      <c r="L11" s="15">
        <f>TEXT(MOD(TIMEVALUE(L5)+13/1440,1),"HH:MM")</f>
        <v/>
      </c>
      <c r="M11" s="15">
        <f>TEXT(MOD(TIMEVALUE(M5)+13/1440,1),"HH:MM")</f>
        <v/>
      </c>
      <c r="N11" s="15">
        <f>TEXT(MOD(TIMEVALUE(N5)+13/1440,1),"HH:MM")</f>
        <v/>
      </c>
      <c r="O11" s="15">
        <f>TEXT(MOD(TIMEVALUE(O5)+13/1440,1),"HH:MM")</f>
        <v/>
      </c>
      <c r="P11" s="15">
        <f>TEXT(MOD(TIMEVALUE(P5)+13/1440,1),"HH:MM")</f>
        <v/>
      </c>
      <c r="Q11" s="15">
        <f>TEXT(MOD(TIMEVALUE(Q5)+13/1440,1),"HH:MM")</f>
        <v/>
      </c>
      <c r="R11" s="15">
        <f>TEXT(MOD(TIMEVALUE(R5)+13/1440,1),"HH:MM")</f>
        <v/>
      </c>
      <c r="S11" s="15">
        <f>TEXT(MOD(TIMEVALUE(S5)+13/1440,1),"HH:MM")</f>
        <v/>
      </c>
      <c r="T11" s="15">
        <f>TEXT(MOD(TIMEVALUE(T5)+13/1440,1),"HH:MM")</f>
        <v/>
      </c>
      <c r="U11" s="15">
        <f>TEXT(MOD(TIMEVALUE(U5)+13/1440,1),"HH:MM")</f>
        <v/>
      </c>
      <c r="V11" s="15">
        <f>TEXT(MOD(TIMEVALUE(V5)+13/1440,1),"HH:MM")</f>
        <v/>
      </c>
      <c r="W11" s="15">
        <f>TEXT(MOD(TIMEVALUE(W5)+13/1440,1),"HH:MM")</f>
        <v/>
      </c>
      <c r="X11" s="15">
        <f>TEXT(MOD(TIMEVALUE(X5)+13/1440,1),"HH:MM")</f>
        <v/>
      </c>
      <c r="Y11" s="15">
        <f>TEXT(MOD(TIMEVALUE(Y5)+13/1440,1),"HH:MM")</f>
        <v/>
      </c>
      <c r="Z11" s="15">
        <f>TEXT(MOD(TIMEVALUE(Z5)+13/1440,1),"HH:MM")</f>
        <v/>
      </c>
      <c r="AA11" s="15">
        <f>TEXT(MOD(TIMEVALUE(AA5)+13/1440,1),"HH:MM")</f>
        <v/>
      </c>
      <c r="AB11" s="15">
        <f>TEXT(MOD(TIMEVALUE(AB5)+13/1440,1),"HH:MM")</f>
        <v/>
      </c>
      <c r="AC11" s="15">
        <f>TEXT(MOD(TIMEVALUE(AC5)+13/1440,1),"HH:MM")</f>
        <v/>
      </c>
      <c r="AD11" s="15">
        <f>TEXT(MOD(TIMEVALUE(AD5)+13/1440,1),"HH:MM")</f>
        <v/>
      </c>
      <c r="AE11" s="15">
        <f>TEXT(MOD(TIMEVALUE(AE5)+13/1440,1),"HH:MM")</f>
        <v/>
      </c>
      <c r="AF11" s="15">
        <f>TEXT(MOD(TIMEVALUE(AF5)+13/1440,1),"HH:MM")</f>
        <v/>
      </c>
      <c r="AG11" s="15">
        <f>TEXT(MOD(TIMEVALUE(AG5)+13/1440,1),"HH:MM")</f>
        <v/>
      </c>
      <c r="AH11" s="15">
        <f>TEXT(MOD(TIMEVALUE(AH5)+13/1440,1),"HH:MM")</f>
        <v/>
      </c>
      <c r="AI11" s="15">
        <f>TEXT(MOD(TIMEVALUE(AI5)+13/1440,1),"HH:MM")</f>
        <v/>
      </c>
      <c r="AJ11" s="15">
        <f>TEXT(MOD(TIMEVALUE(AJ5)+13/1440,1),"HH:MM")</f>
        <v/>
      </c>
      <c r="AK11" s="15">
        <f>TEXT(MOD(TIMEVALUE(AK5)+13/1440,1),"HH:MM")</f>
        <v/>
      </c>
      <c r="AL11" s="15">
        <f>TEXT(MOD(TIMEVALUE(AL5)+13/1440,1),"HH:MM")</f>
        <v/>
      </c>
      <c r="AM11" s="15">
        <f>TEXT(MOD(TIMEVALUE(AM5)+13/1440,1),"HH:MM")</f>
        <v/>
      </c>
    </row>
    <row r="12" ht="16.5" customHeight="1" s="26">
      <c r="A12" s="22" t="inlineStr">
        <is>
          <t>Fernández Moreno</t>
        </is>
      </c>
      <c r="B12" s="13">
        <f>TEXT(MOD(TIMEVALUE(B5)+15/1440,1),"HH:MM")</f>
        <v/>
      </c>
      <c r="C12" s="13">
        <f>TEXT(MOD(TIMEVALUE(C5)+15/1440,1),"HH:MM")</f>
        <v/>
      </c>
      <c r="D12" s="13">
        <f>TEXT(MOD(TIMEVALUE(D5)+15/1440,1),"HH:MM")</f>
        <v/>
      </c>
      <c r="E12" s="13">
        <f>TEXT(MOD(TIMEVALUE(E5)+15/1440,1),"HH:MM")</f>
        <v/>
      </c>
      <c r="F12" s="13">
        <f>TEXT(MOD(TIMEVALUE(F5)+15/1440,1),"HH:MM")</f>
        <v/>
      </c>
      <c r="G12" s="13">
        <f>TEXT(MOD(TIMEVALUE(G5)+15/1440,1),"HH:MM")</f>
        <v/>
      </c>
      <c r="H12" s="13">
        <f>TEXT(MOD(TIMEVALUE(H5)+15/1440,1),"HH:MM")</f>
        <v/>
      </c>
      <c r="I12" s="13">
        <f>TEXT(MOD(TIMEVALUE(I5)+15/1440,1),"HH:MM")</f>
        <v/>
      </c>
      <c r="J12" s="13">
        <f>TEXT(MOD(TIMEVALUE(J5)+15/1440,1),"HH:MM")</f>
        <v/>
      </c>
      <c r="K12" s="13">
        <f>TEXT(MOD(TIMEVALUE(K5)+15/1440,1),"HH:MM")</f>
        <v/>
      </c>
      <c r="L12" s="13">
        <f>TEXT(MOD(TIMEVALUE(L5)+15/1440,1),"HH:MM")</f>
        <v/>
      </c>
      <c r="M12" s="13">
        <f>TEXT(MOD(TIMEVALUE(M5)+15/1440,1),"HH:MM")</f>
        <v/>
      </c>
      <c r="N12" s="13">
        <f>TEXT(MOD(TIMEVALUE(N5)+15/1440,1),"HH:MM")</f>
        <v/>
      </c>
      <c r="O12" s="13">
        <f>TEXT(MOD(TIMEVALUE(O5)+15/1440,1),"HH:MM")</f>
        <v/>
      </c>
      <c r="P12" s="13">
        <f>TEXT(MOD(TIMEVALUE(P5)+15/1440,1),"HH:MM")</f>
        <v/>
      </c>
      <c r="Q12" s="13">
        <f>TEXT(MOD(TIMEVALUE(Q5)+15/1440,1),"HH:MM")</f>
        <v/>
      </c>
      <c r="R12" s="13">
        <f>TEXT(MOD(TIMEVALUE(R5)+15/1440,1),"HH:MM")</f>
        <v/>
      </c>
      <c r="S12" s="13">
        <f>TEXT(MOD(TIMEVALUE(S5)+15/1440,1),"HH:MM")</f>
        <v/>
      </c>
      <c r="T12" s="13">
        <f>TEXT(MOD(TIMEVALUE(T5)+15/1440,1),"HH:MM")</f>
        <v/>
      </c>
      <c r="U12" s="13">
        <f>TEXT(MOD(TIMEVALUE(U5)+15/1440,1),"HH:MM")</f>
        <v/>
      </c>
      <c r="V12" s="13">
        <f>TEXT(MOD(TIMEVALUE(V5)+15/1440,1),"HH:MM")</f>
        <v/>
      </c>
      <c r="W12" s="13">
        <f>TEXT(MOD(TIMEVALUE(W5)+15/1440,1),"HH:MM")</f>
        <v/>
      </c>
      <c r="X12" s="13">
        <f>TEXT(MOD(TIMEVALUE(X5)+15/1440,1),"HH:MM")</f>
        <v/>
      </c>
      <c r="Y12" s="13">
        <f>TEXT(MOD(TIMEVALUE(Y5)+15/1440,1),"HH:MM")</f>
        <v/>
      </c>
      <c r="Z12" s="13">
        <f>TEXT(MOD(TIMEVALUE(Z5)+15/1440,1),"HH:MM")</f>
        <v/>
      </c>
      <c r="AA12" s="13">
        <f>TEXT(MOD(TIMEVALUE(AA5)+15/1440,1),"HH:MM")</f>
        <v/>
      </c>
      <c r="AB12" s="13">
        <f>TEXT(MOD(TIMEVALUE(AB5)+15/1440,1),"HH:MM")</f>
        <v/>
      </c>
      <c r="AC12" s="13">
        <f>TEXT(MOD(TIMEVALUE(AC5)+15/1440,1),"HH:MM")</f>
        <v/>
      </c>
      <c r="AD12" s="13">
        <f>TEXT(MOD(TIMEVALUE(AD5)+15/1440,1),"HH:MM")</f>
        <v/>
      </c>
      <c r="AE12" s="13">
        <f>TEXT(MOD(TIMEVALUE(AE5)+15/1440,1),"HH:MM")</f>
        <v/>
      </c>
      <c r="AF12" s="13">
        <f>TEXT(MOD(TIMEVALUE(AF5)+15/1440,1),"HH:MM")</f>
        <v/>
      </c>
      <c r="AG12" s="13">
        <f>TEXT(MOD(TIMEVALUE(AG5)+15/1440,1),"HH:MM")</f>
        <v/>
      </c>
      <c r="AH12" s="13">
        <f>TEXT(MOD(TIMEVALUE(AH5)+15/1440,1),"HH:MM")</f>
        <v/>
      </c>
      <c r="AI12" s="13">
        <f>TEXT(MOD(TIMEVALUE(AI5)+15/1440,1),"HH:MM")</f>
        <v/>
      </c>
      <c r="AJ12" s="13">
        <f>TEXT(MOD(TIMEVALUE(AJ5)+15/1440,1),"HH:MM")</f>
        <v/>
      </c>
      <c r="AK12" s="13">
        <f>TEXT(MOD(TIMEVALUE(AK5)+15/1440,1),"HH:MM")</f>
        <v/>
      </c>
      <c r="AL12" s="13">
        <f>TEXT(MOD(TIMEVALUE(AL5)+15/1440,1),"HH:MM")</f>
        <v/>
      </c>
      <c r="AM12" s="13">
        <f>TEXT(MOD(TIMEVALUE(AM5)+15/1440,1),"HH:MM")</f>
        <v/>
      </c>
    </row>
    <row r="13" ht="16.5" customHeight="1" s="26">
      <c r="A13" s="23" t="inlineStr">
        <is>
          <t>Lourdes</t>
        </is>
      </c>
      <c r="B13" s="15">
        <f>TEXT(MOD(TIMEVALUE(B5)+17/1440,1),"HH:MM")</f>
        <v/>
      </c>
      <c r="C13" s="15">
        <f>TEXT(MOD(TIMEVALUE(C5)+17/1440,1),"HH:MM")</f>
        <v/>
      </c>
      <c r="D13" s="15">
        <f>TEXT(MOD(TIMEVALUE(D5)+17/1440,1),"HH:MM")</f>
        <v/>
      </c>
      <c r="E13" s="15">
        <f>TEXT(MOD(TIMEVALUE(E5)+17/1440,1),"HH:MM")</f>
        <v/>
      </c>
      <c r="F13" s="15">
        <f>TEXT(MOD(TIMEVALUE(F5)+17/1440,1),"HH:MM")</f>
        <v/>
      </c>
      <c r="G13" s="15">
        <f>TEXT(MOD(TIMEVALUE(G5)+17/1440,1),"HH:MM")</f>
        <v/>
      </c>
      <c r="H13" s="15">
        <f>TEXT(MOD(TIMEVALUE(H5)+17/1440,1),"HH:MM")</f>
        <v/>
      </c>
      <c r="I13" s="15">
        <f>TEXT(MOD(TIMEVALUE(I5)+17/1440,1),"HH:MM")</f>
        <v/>
      </c>
      <c r="J13" s="15">
        <f>TEXT(MOD(TIMEVALUE(J5)+17/1440,1),"HH:MM")</f>
        <v/>
      </c>
      <c r="K13" s="15">
        <f>TEXT(MOD(TIMEVALUE(K5)+17/1440,1),"HH:MM")</f>
        <v/>
      </c>
      <c r="L13" s="15">
        <f>TEXT(MOD(TIMEVALUE(L5)+17/1440,1),"HH:MM")</f>
        <v/>
      </c>
      <c r="M13" s="15">
        <f>TEXT(MOD(TIMEVALUE(M5)+17/1440,1),"HH:MM")</f>
        <v/>
      </c>
      <c r="N13" s="15">
        <f>TEXT(MOD(TIMEVALUE(N5)+17/1440,1),"HH:MM")</f>
        <v/>
      </c>
      <c r="O13" s="15">
        <f>TEXT(MOD(TIMEVALUE(O5)+17/1440,1),"HH:MM")</f>
        <v/>
      </c>
      <c r="P13" s="15">
        <f>TEXT(MOD(TIMEVALUE(P5)+17/1440,1),"HH:MM")</f>
        <v/>
      </c>
      <c r="Q13" s="15">
        <f>TEXT(MOD(TIMEVALUE(Q5)+17/1440,1),"HH:MM")</f>
        <v/>
      </c>
      <c r="R13" s="15">
        <f>TEXT(MOD(TIMEVALUE(R5)+17/1440,1),"HH:MM")</f>
        <v/>
      </c>
      <c r="S13" s="15">
        <f>TEXT(MOD(TIMEVALUE(S5)+17/1440,1),"HH:MM")</f>
        <v/>
      </c>
      <c r="T13" s="15">
        <f>TEXT(MOD(TIMEVALUE(T5)+17/1440,1),"HH:MM")</f>
        <v/>
      </c>
      <c r="U13" s="15">
        <f>TEXT(MOD(TIMEVALUE(U5)+17/1440,1),"HH:MM")</f>
        <v/>
      </c>
      <c r="V13" s="15">
        <f>TEXT(MOD(TIMEVALUE(V5)+17/1440,1),"HH:MM")</f>
        <v/>
      </c>
      <c r="W13" s="15">
        <f>TEXT(MOD(TIMEVALUE(W5)+17/1440,1),"HH:MM")</f>
        <v/>
      </c>
      <c r="X13" s="15">
        <f>TEXT(MOD(TIMEVALUE(X5)+17/1440,1),"HH:MM")</f>
        <v/>
      </c>
      <c r="Y13" s="15">
        <f>TEXT(MOD(TIMEVALUE(Y5)+17/1440,1),"HH:MM")</f>
        <v/>
      </c>
      <c r="Z13" s="15">
        <f>TEXT(MOD(TIMEVALUE(Z5)+17/1440,1),"HH:MM")</f>
        <v/>
      </c>
      <c r="AA13" s="15">
        <f>TEXT(MOD(TIMEVALUE(AA5)+17/1440,1),"HH:MM")</f>
        <v/>
      </c>
      <c r="AB13" s="15">
        <f>TEXT(MOD(TIMEVALUE(AB5)+17/1440,1),"HH:MM")</f>
        <v/>
      </c>
      <c r="AC13" s="15">
        <f>TEXT(MOD(TIMEVALUE(AC5)+17/1440,1),"HH:MM")</f>
        <v/>
      </c>
      <c r="AD13" s="15">
        <f>TEXT(MOD(TIMEVALUE(AD5)+17/1440,1),"HH:MM")</f>
        <v/>
      </c>
      <c r="AE13" s="15">
        <f>TEXT(MOD(TIMEVALUE(AE5)+17/1440,1),"HH:MM")</f>
        <v/>
      </c>
      <c r="AF13" s="15">
        <f>TEXT(MOD(TIMEVALUE(AF5)+17/1440,1),"HH:MM")</f>
        <v/>
      </c>
      <c r="AG13" s="15">
        <f>TEXT(MOD(TIMEVALUE(AG5)+17/1440,1),"HH:MM")</f>
        <v/>
      </c>
      <c r="AH13" s="15">
        <f>TEXT(MOD(TIMEVALUE(AH5)+17/1440,1),"HH:MM")</f>
        <v/>
      </c>
      <c r="AI13" s="15">
        <f>TEXT(MOD(TIMEVALUE(AI5)+17/1440,1),"HH:MM")</f>
        <v/>
      </c>
      <c r="AJ13" s="15">
        <f>TEXT(MOD(TIMEVALUE(AJ5)+17/1440,1),"HH:MM")</f>
        <v/>
      </c>
      <c r="AK13" s="15">
        <f>TEXT(MOD(TIMEVALUE(AK5)+17/1440,1),"HH:MM")</f>
        <v/>
      </c>
      <c r="AL13" s="15">
        <f>TEXT(MOD(TIMEVALUE(AL5)+17/1440,1),"HH:MM")</f>
        <v/>
      </c>
      <c r="AM13" s="15">
        <f>TEXT(MOD(TIMEVALUE(AM5)+17/1440,1),"HH:MM")</f>
        <v/>
      </c>
    </row>
    <row r="14" ht="16.5" customHeight="1" s="26">
      <c r="A14" s="22" t="inlineStr">
        <is>
          <t>Tropezón</t>
        </is>
      </c>
      <c r="B14" s="13">
        <f>TEXT(MOD(TIMEVALUE(B5)+19/1440,1),"HH:MM")</f>
        <v/>
      </c>
      <c r="C14" s="13">
        <f>TEXT(MOD(TIMEVALUE(C5)+19/1440,1),"HH:MM")</f>
        <v/>
      </c>
      <c r="D14" s="13">
        <f>TEXT(MOD(TIMEVALUE(D5)+19/1440,1),"HH:MM")</f>
        <v/>
      </c>
      <c r="E14" s="13">
        <f>TEXT(MOD(TIMEVALUE(E5)+19/1440,1),"HH:MM")</f>
        <v/>
      </c>
      <c r="F14" s="13">
        <f>TEXT(MOD(TIMEVALUE(F5)+19/1440,1),"HH:MM")</f>
        <v/>
      </c>
      <c r="G14" s="13">
        <f>TEXT(MOD(TIMEVALUE(G5)+19/1440,1),"HH:MM")</f>
        <v/>
      </c>
      <c r="H14" s="13">
        <f>TEXT(MOD(TIMEVALUE(H5)+19/1440,1),"HH:MM")</f>
        <v/>
      </c>
      <c r="I14" s="13">
        <f>TEXT(MOD(TIMEVALUE(I5)+19/1440,1),"HH:MM")</f>
        <v/>
      </c>
      <c r="J14" s="13">
        <f>TEXT(MOD(TIMEVALUE(J5)+19/1440,1),"HH:MM")</f>
        <v/>
      </c>
      <c r="K14" s="13">
        <f>TEXT(MOD(TIMEVALUE(K5)+19/1440,1),"HH:MM")</f>
        <v/>
      </c>
      <c r="L14" s="13">
        <f>TEXT(MOD(TIMEVALUE(L5)+19/1440,1),"HH:MM")</f>
        <v/>
      </c>
      <c r="M14" s="13">
        <f>TEXT(MOD(TIMEVALUE(M5)+19/1440,1),"HH:MM")</f>
        <v/>
      </c>
      <c r="N14" s="13">
        <f>TEXT(MOD(TIMEVALUE(N5)+19/1440,1),"HH:MM")</f>
        <v/>
      </c>
      <c r="O14" s="13">
        <f>TEXT(MOD(TIMEVALUE(O5)+19/1440,1),"HH:MM")</f>
        <v/>
      </c>
      <c r="P14" s="13">
        <f>TEXT(MOD(TIMEVALUE(P5)+19/1440,1),"HH:MM")</f>
        <v/>
      </c>
      <c r="Q14" s="13">
        <f>TEXT(MOD(TIMEVALUE(Q5)+19/1440,1),"HH:MM")</f>
        <v/>
      </c>
      <c r="R14" s="13">
        <f>TEXT(MOD(TIMEVALUE(R5)+19/1440,1),"HH:MM")</f>
        <v/>
      </c>
      <c r="S14" s="13">
        <f>TEXT(MOD(TIMEVALUE(S5)+19/1440,1),"HH:MM")</f>
        <v/>
      </c>
      <c r="T14" s="13">
        <f>TEXT(MOD(TIMEVALUE(T5)+19/1440,1),"HH:MM")</f>
        <v/>
      </c>
      <c r="U14" s="13">
        <f>TEXT(MOD(TIMEVALUE(U5)+19/1440,1),"HH:MM")</f>
        <v/>
      </c>
      <c r="V14" s="13">
        <f>TEXT(MOD(TIMEVALUE(V5)+19/1440,1),"HH:MM")</f>
        <v/>
      </c>
      <c r="W14" s="13">
        <f>TEXT(MOD(TIMEVALUE(W5)+19/1440,1),"HH:MM")</f>
        <v/>
      </c>
      <c r="X14" s="13">
        <f>TEXT(MOD(TIMEVALUE(X5)+19/1440,1),"HH:MM")</f>
        <v/>
      </c>
      <c r="Y14" s="13">
        <f>TEXT(MOD(TIMEVALUE(Y5)+19/1440,1),"HH:MM")</f>
        <v/>
      </c>
      <c r="Z14" s="13">
        <f>TEXT(MOD(TIMEVALUE(Z5)+19/1440,1),"HH:MM")</f>
        <v/>
      </c>
      <c r="AA14" s="13">
        <f>TEXT(MOD(TIMEVALUE(AA5)+19/1440,1),"HH:MM")</f>
        <v/>
      </c>
      <c r="AB14" s="13">
        <f>TEXT(MOD(TIMEVALUE(AB5)+19/1440,1),"HH:MM")</f>
        <v/>
      </c>
      <c r="AC14" s="13">
        <f>TEXT(MOD(TIMEVALUE(AC5)+19/1440,1),"HH:MM")</f>
        <v/>
      </c>
      <c r="AD14" s="13">
        <f>TEXT(MOD(TIMEVALUE(AD5)+19/1440,1),"HH:MM")</f>
        <v/>
      </c>
      <c r="AE14" s="13">
        <f>TEXT(MOD(TIMEVALUE(AE5)+19/1440,1),"HH:MM")</f>
        <v/>
      </c>
      <c r="AF14" s="13">
        <f>TEXT(MOD(TIMEVALUE(AF5)+19/1440,1),"HH:MM")</f>
        <v/>
      </c>
      <c r="AG14" s="13">
        <f>TEXT(MOD(TIMEVALUE(AG5)+19/1440,1),"HH:MM")</f>
        <v/>
      </c>
      <c r="AH14" s="13">
        <f>TEXT(MOD(TIMEVALUE(AH5)+19/1440,1),"HH:MM")</f>
        <v/>
      </c>
      <c r="AI14" s="13">
        <f>TEXT(MOD(TIMEVALUE(AI5)+19/1440,1),"HH:MM")</f>
        <v/>
      </c>
      <c r="AJ14" s="13">
        <f>TEXT(MOD(TIMEVALUE(AJ5)+19/1440,1),"HH:MM")</f>
        <v/>
      </c>
      <c r="AK14" s="13">
        <f>TEXT(MOD(TIMEVALUE(AK5)+19/1440,1),"HH:MM")</f>
        <v/>
      </c>
      <c r="AL14" s="13">
        <f>TEXT(MOD(TIMEVALUE(AL5)+19/1440,1),"HH:MM")</f>
        <v/>
      </c>
      <c r="AM14" s="13">
        <f>TEXT(MOD(TIMEVALUE(AM5)+19/1440,1),"HH:MM")</f>
        <v/>
      </c>
    </row>
    <row r="15" ht="16.5" customHeight="1" s="26">
      <c r="A15" s="23" t="inlineStr">
        <is>
          <t>José M. Bosch</t>
        </is>
      </c>
      <c r="B15" s="15">
        <f>TEXT(MOD(TIMEVALUE(B5)+21/1440,1),"HH:MM")</f>
        <v/>
      </c>
      <c r="C15" s="15">
        <f>TEXT(MOD(TIMEVALUE(C5)+21/1440,1),"HH:MM")</f>
        <v/>
      </c>
      <c r="D15" s="15">
        <f>TEXT(MOD(TIMEVALUE(D5)+21/1440,1),"HH:MM")</f>
        <v/>
      </c>
      <c r="E15" s="15">
        <f>TEXT(MOD(TIMEVALUE(E5)+21/1440,1),"HH:MM")</f>
        <v/>
      </c>
      <c r="F15" s="15">
        <f>TEXT(MOD(TIMEVALUE(F5)+21/1440,1),"HH:MM")</f>
        <v/>
      </c>
      <c r="G15" s="15">
        <f>TEXT(MOD(TIMEVALUE(G5)+21/1440,1),"HH:MM")</f>
        <v/>
      </c>
      <c r="H15" s="15">
        <f>TEXT(MOD(TIMEVALUE(H5)+21/1440,1),"HH:MM")</f>
        <v/>
      </c>
      <c r="I15" s="15">
        <f>TEXT(MOD(TIMEVALUE(I5)+21/1440,1),"HH:MM")</f>
        <v/>
      </c>
      <c r="J15" s="15">
        <f>TEXT(MOD(TIMEVALUE(J5)+21/1440,1),"HH:MM")</f>
        <v/>
      </c>
      <c r="K15" s="15">
        <f>TEXT(MOD(TIMEVALUE(K5)+21/1440,1),"HH:MM")</f>
        <v/>
      </c>
      <c r="L15" s="15">
        <f>TEXT(MOD(TIMEVALUE(L5)+21/1440,1),"HH:MM")</f>
        <v/>
      </c>
      <c r="M15" s="15">
        <f>TEXT(MOD(TIMEVALUE(M5)+21/1440,1),"HH:MM")</f>
        <v/>
      </c>
      <c r="N15" s="15">
        <f>TEXT(MOD(TIMEVALUE(N5)+21/1440,1),"HH:MM")</f>
        <v/>
      </c>
      <c r="O15" s="15">
        <f>TEXT(MOD(TIMEVALUE(O5)+21/1440,1),"HH:MM")</f>
        <v/>
      </c>
      <c r="P15" s="15">
        <f>TEXT(MOD(TIMEVALUE(P5)+21/1440,1),"HH:MM")</f>
        <v/>
      </c>
      <c r="Q15" s="15">
        <f>TEXT(MOD(TIMEVALUE(Q5)+21/1440,1),"HH:MM")</f>
        <v/>
      </c>
      <c r="R15" s="15">
        <f>TEXT(MOD(TIMEVALUE(R5)+21/1440,1),"HH:MM")</f>
        <v/>
      </c>
      <c r="S15" s="15">
        <f>TEXT(MOD(TIMEVALUE(S5)+21/1440,1),"HH:MM")</f>
        <v/>
      </c>
      <c r="T15" s="15">
        <f>TEXT(MOD(TIMEVALUE(T5)+21/1440,1),"HH:MM")</f>
        <v/>
      </c>
      <c r="U15" s="15">
        <f>TEXT(MOD(TIMEVALUE(U5)+21/1440,1),"HH:MM")</f>
        <v/>
      </c>
      <c r="V15" s="15">
        <f>TEXT(MOD(TIMEVALUE(V5)+21/1440,1),"HH:MM")</f>
        <v/>
      </c>
      <c r="W15" s="15">
        <f>TEXT(MOD(TIMEVALUE(W5)+21/1440,1),"HH:MM")</f>
        <v/>
      </c>
      <c r="X15" s="15">
        <f>TEXT(MOD(TIMEVALUE(X5)+21/1440,1),"HH:MM")</f>
        <v/>
      </c>
      <c r="Y15" s="15">
        <f>TEXT(MOD(TIMEVALUE(Y5)+21/1440,1),"HH:MM")</f>
        <v/>
      </c>
      <c r="Z15" s="15">
        <f>TEXT(MOD(TIMEVALUE(Z5)+21/1440,1),"HH:MM")</f>
        <v/>
      </c>
      <c r="AA15" s="15">
        <f>TEXT(MOD(TIMEVALUE(AA5)+21/1440,1),"HH:MM")</f>
        <v/>
      </c>
      <c r="AB15" s="15">
        <f>TEXT(MOD(TIMEVALUE(AB5)+21/1440,1),"HH:MM")</f>
        <v/>
      </c>
      <c r="AC15" s="15">
        <f>TEXT(MOD(TIMEVALUE(AC5)+21/1440,1),"HH:MM")</f>
        <v/>
      </c>
      <c r="AD15" s="15">
        <f>TEXT(MOD(TIMEVALUE(AD5)+21/1440,1),"HH:MM")</f>
        <v/>
      </c>
      <c r="AE15" s="15">
        <f>TEXT(MOD(TIMEVALUE(AE5)+21/1440,1),"HH:MM")</f>
        <v/>
      </c>
      <c r="AF15" s="15">
        <f>TEXT(MOD(TIMEVALUE(AF5)+21/1440,1),"HH:MM")</f>
        <v/>
      </c>
      <c r="AG15" s="15">
        <f>TEXT(MOD(TIMEVALUE(AG5)+21/1440,1),"HH:MM")</f>
        <v/>
      </c>
      <c r="AH15" s="15">
        <f>TEXT(MOD(TIMEVALUE(AH5)+21/1440,1),"HH:MM")</f>
        <v/>
      </c>
      <c r="AI15" s="15">
        <f>TEXT(MOD(TIMEVALUE(AI5)+21/1440,1),"HH:MM")</f>
        <v/>
      </c>
      <c r="AJ15" s="15">
        <f>TEXT(MOD(TIMEVALUE(AJ5)+21/1440,1),"HH:MM")</f>
        <v/>
      </c>
      <c r="AK15" s="15">
        <f>TEXT(MOD(TIMEVALUE(AK5)+21/1440,1),"HH:MM")</f>
        <v/>
      </c>
      <c r="AL15" s="15">
        <f>TEXT(MOD(TIMEVALUE(AL5)+21/1440,1),"HH:MM")</f>
        <v/>
      </c>
      <c r="AM15" s="15">
        <f>TEXT(MOD(TIMEVALUE(AM5)+21/1440,1),"HH:MM")</f>
        <v/>
      </c>
    </row>
    <row r="16" ht="16.5" customHeight="1" s="26">
      <c r="A16" s="22" t="inlineStr">
        <is>
          <t>Martín Coronado</t>
        </is>
      </c>
      <c r="B16" s="13">
        <f>TEXT(MOD(TIMEVALUE(B5)+24/1440,1),"HH:MM")</f>
        <v/>
      </c>
      <c r="C16" s="13">
        <f>TEXT(MOD(TIMEVALUE(C5)+24/1440,1),"HH:MM")</f>
        <v/>
      </c>
      <c r="D16" s="13">
        <f>TEXT(MOD(TIMEVALUE(D5)+24/1440,1),"HH:MM")</f>
        <v/>
      </c>
      <c r="E16" s="13">
        <f>TEXT(MOD(TIMEVALUE(E5)+24/1440,1),"HH:MM")</f>
        <v/>
      </c>
      <c r="F16" s="13">
        <f>TEXT(MOD(TIMEVALUE(F5)+24/1440,1),"HH:MM")</f>
        <v/>
      </c>
      <c r="G16" s="13">
        <f>TEXT(MOD(TIMEVALUE(G5)+24/1440,1),"HH:MM")</f>
        <v/>
      </c>
      <c r="H16" s="13">
        <f>TEXT(MOD(TIMEVALUE(H5)+24/1440,1),"HH:MM")</f>
        <v/>
      </c>
      <c r="I16" s="13">
        <f>TEXT(MOD(TIMEVALUE(I5)+24/1440,1),"HH:MM")</f>
        <v/>
      </c>
      <c r="J16" s="13">
        <f>TEXT(MOD(TIMEVALUE(J5)+24/1440,1),"HH:MM")</f>
        <v/>
      </c>
      <c r="K16" s="13">
        <f>TEXT(MOD(TIMEVALUE(K5)+24/1440,1),"HH:MM")</f>
        <v/>
      </c>
      <c r="L16" s="13">
        <f>TEXT(MOD(TIMEVALUE(L5)+24/1440,1),"HH:MM")</f>
        <v/>
      </c>
      <c r="M16" s="13">
        <f>TEXT(MOD(TIMEVALUE(M5)+24/1440,1),"HH:MM")</f>
        <v/>
      </c>
      <c r="N16" s="13">
        <f>TEXT(MOD(TIMEVALUE(N5)+24/1440,1),"HH:MM")</f>
        <v/>
      </c>
      <c r="O16" s="13">
        <f>TEXT(MOD(TIMEVALUE(O5)+24/1440,1),"HH:MM")</f>
        <v/>
      </c>
      <c r="P16" s="13">
        <f>TEXT(MOD(TIMEVALUE(P5)+24/1440,1),"HH:MM")</f>
        <v/>
      </c>
      <c r="Q16" s="13">
        <f>TEXT(MOD(TIMEVALUE(Q5)+24/1440,1),"HH:MM")</f>
        <v/>
      </c>
      <c r="R16" s="13">
        <f>TEXT(MOD(TIMEVALUE(R5)+24/1440,1),"HH:MM")</f>
        <v/>
      </c>
      <c r="S16" s="13">
        <f>TEXT(MOD(TIMEVALUE(S5)+24/1440,1),"HH:MM")</f>
        <v/>
      </c>
      <c r="T16" s="13">
        <f>TEXT(MOD(TIMEVALUE(T5)+24/1440,1),"HH:MM")</f>
        <v/>
      </c>
      <c r="U16" s="13">
        <f>TEXT(MOD(TIMEVALUE(U5)+24/1440,1),"HH:MM")</f>
        <v/>
      </c>
      <c r="V16" s="13">
        <f>TEXT(MOD(TIMEVALUE(V5)+24/1440,1),"HH:MM")</f>
        <v/>
      </c>
      <c r="W16" s="13">
        <f>TEXT(MOD(TIMEVALUE(W5)+24/1440,1),"HH:MM")</f>
        <v/>
      </c>
      <c r="X16" s="13">
        <f>TEXT(MOD(TIMEVALUE(X5)+24/1440,1),"HH:MM")</f>
        <v/>
      </c>
      <c r="Y16" s="13">
        <f>TEXT(MOD(TIMEVALUE(Y5)+24/1440,1),"HH:MM")</f>
        <v/>
      </c>
      <c r="Z16" s="13">
        <f>TEXT(MOD(TIMEVALUE(Z5)+24/1440,1),"HH:MM")</f>
        <v/>
      </c>
      <c r="AA16" s="13">
        <f>TEXT(MOD(TIMEVALUE(AA5)+24/1440,1),"HH:MM")</f>
        <v/>
      </c>
      <c r="AB16" s="13">
        <f>TEXT(MOD(TIMEVALUE(AB5)+24/1440,1),"HH:MM")</f>
        <v/>
      </c>
      <c r="AC16" s="13">
        <f>TEXT(MOD(TIMEVALUE(AC5)+24/1440,1),"HH:MM")</f>
        <v/>
      </c>
      <c r="AD16" s="13">
        <f>TEXT(MOD(TIMEVALUE(AD5)+24/1440,1),"HH:MM")</f>
        <v/>
      </c>
      <c r="AE16" s="13">
        <f>TEXT(MOD(TIMEVALUE(AE5)+24/1440,1),"HH:MM")</f>
        <v/>
      </c>
      <c r="AF16" s="13">
        <f>TEXT(MOD(TIMEVALUE(AF5)+24/1440,1),"HH:MM")</f>
        <v/>
      </c>
      <c r="AG16" s="13">
        <f>TEXT(MOD(TIMEVALUE(AG5)+24/1440,1),"HH:MM")</f>
        <v/>
      </c>
      <c r="AH16" s="13">
        <f>TEXT(MOD(TIMEVALUE(AH5)+24/1440,1),"HH:MM")</f>
        <v/>
      </c>
      <c r="AI16" s="13">
        <f>TEXT(MOD(TIMEVALUE(AI5)+24/1440,1),"HH:MM")</f>
        <v/>
      </c>
      <c r="AJ16" s="13">
        <f>TEXT(MOD(TIMEVALUE(AJ5)+24/1440,1),"HH:MM")</f>
        <v/>
      </c>
      <c r="AK16" s="13">
        <f>TEXT(MOD(TIMEVALUE(AK5)+24/1440,1),"HH:MM")</f>
        <v/>
      </c>
      <c r="AL16" s="13">
        <f>TEXT(MOD(TIMEVALUE(AL5)+24/1440,1),"HH:MM")</f>
        <v/>
      </c>
      <c r="AM16" s="13">
        <f>TEXT(MOD(TIMEVALUE(AM5)+24/1440,1),"HH:MM")</f>
        <v/>
      </c>
    </row>
    <row r="17" ht="16.5" customHeight="1" s="26">
      <c r="A17" s="23" t="inlineStr">
        <is>
          <t>Pedro Podestá</t>
        </is>
      </c>
      <c r="B17" s="15">
        <f>TEXT(MOD(TIMEVALUE(B5)+26/1440,1),"HH:MM")</f>
        <v/>
      </c>
      <c r="C17" s="15">
        <f>TEXT(MOD(TIMEVALUE(C5)+26/1440,1),"HH:MM")</f>
        <v/>
      </c>
      <c r="D17" s="15">
        <f>TEXT(MOD(TIMEVALUE(D5)+26/1440,1),"HH:MM")</f>
        <v/>
      </c>
      <c r="E17" s="15">
        <f>TEXT(MOD(TIMEVALUE(E5)+26/1440,1),"HH:MM")</f>
        <v/>
      </c>
      <c r="F17" s="15">
        <f>TEXT(MOD(TIMEVALUE(F5)+26/1440,1),"HH:MM")</f>
        <v/>
      </c>
      <c r="G17" s="15">
        <f>TEXT(MOD(TIMEVALUE(G5)+26/1440,1),"HH:MM")</f>
        <v/>
      </c>
      <c r="H17" s="15">
        <f>TEXT(MOD(TIMEVALUE(H5)+26/1440,1),"HH:MM")</f>
        <v/>
      </c>
      <c r="I17" s="15">
        <f>TEXT(MOD(TIMEVALUE(I5)+26/1440,1),"HH:MM")</f>
        <v/>
      </c>
      <c r="J17" s="15">
        <f>TEXT(MOD(TIMEVALUE(J5)+26/1440,1),"HH:MM")</f>
        <v/>
      </c>
      <c r="K17" s="15">
        <f>TEXT(MOD(TIMEVALUE(K5)+26/1440,1),"HH:MM")</f>
        <v/>
      </c>
      <c r="L17" s="15">
        <f>TEXT(MOD(TIMEVALUE(L5)+26/1440,1),"HH:MM")</f>
        <v/>
      </c>
      <c r="M17" s="15">
        <f>TEXT(MOD(TIMEVALUE(M5)+26/1440,1),"HH:MM")</f>
        <v/>
      </c>
      <c r="N17" s="15">
        <f>TEXT(MOD(TIMEVALUE(N5)+26/1440,1),"HH:MM")</f>
        <v/>
      </c>
      <c r="O17" s="15">
        <f>TEXT(MOD(TIMEVALUE(O5)+26/1440,1),"HH:MM")</f>
        <v/>
      </c>
      <c r="P17" s="15">
        <f>TEXT(MOD(TIMEVALUE(P5)+26/1440,1),"HH:MM")</f>
        <v/>
      </c>
      <c r="Q17" s="15">
        <f>TEXT(MOD(TIMEVALUE(Q5)+26/1440,1),"HH:MM")</f>
        <v/>
      </c>
      <c r="R17" s="15">
        <f>TEXT(MOD(TIMEVALUE(R5)+26/1440,1),"HH:MM")</f>
        <v/>
      </c>
      <c r="S17" s="15">
        <f>TEXT(MOD(TIMEVALUE(S5)+26/1440,1),"HH:MM")</f>
        <v/>
      </c>
      <c r="T17" s="15">
        <f>TEXT(MOD(TIMEVALUE(T5)+26/1440,1),"HH:MM")</f>
        <v/>
      </c>
      <c r="U17" s="15">
        <f>TEXT(MOD(TIMEVALUE(U5)+26/1440,1),"HH:MM")</f>
        <v/>
      </c>
      <c r="V17" s="15">
        <f>TEXT(MOD(TIMEVALUE(V5)+26/1440,1),"HH:MM")</f>
        <v/>
      </c>
      <c r="W17" s="15">
        <f>TEXT(MOD(TIMEVALUE(W5)+26/1440,1),"HH:MM")</f>
        <v/>
      </c>
      <c r="X17" s="15">
        <f>TEXT(MOD(TIMEVALUE(X5)+26/1440,1),"HH:MM")</f>
        <v/>
      </c>
      <c r="Y17" s="15">
        <f>TEXT(MOD(TIMEVALUE(Y5)+26/1440,1),"HH:MM")</f>
        <v/>
      </c>
      <c r="Z17" s="15">
        <f>TEXT(MOD(TIMEVALUE(Z5)+26/1440,1),"HH:MM")</f>
        <v/>
      </c>
      <c r="AA17" s="15">
        <f>TEXT(MOD(TIMEVALUE(AA5)+26/1440,1),"HH:MM")</f>
        <v/>
      </c>
      <c r="AB17" s="15">
        <f>TEXT(MOD(TIMEVALUE(AB5)+26/1440,1),"HH:MM")</f>
        <v/>
      </c>
      <c r="AC17" s="15">
        <f>TEXT(MOD(TIMEVALUE(AC5)+26/1440,1),"HH:MM")</f>
        <v/>
      </c>
      <c r="AD17" s="15">
        <f>TEXT(MOD(TIMEVALUE(AD5)+26/1440,1),"HH:MM")</f>
        <v/>
      </c>
      <c r="AE17" s="15">
        <f>TEXT(MOD(TIMEVALUE(AE5)+26/1440,1),"HH:MM")</f>
        <v/>
      </c>
      <c r="AF17" s="15">
        <f>TEXT(MOD(TIMEVALUE(AF5)+26/1440,1),"HH:MM")</f>
        <v/>
      </c>
      <c r="AG17" s="15">
        <f>TEXT(MOD(TIMEVALUE(AG5)+26/1440,1),"HH:MM")</f>
        <v/>
      </c>
      <c r="AH17" s="15">
        <f>TEXT(MOD(TIMEVALUE(AH5)+26/1440,1),"HH:MM")</f>
        <v/>
      </c>
      <c r="AI17" s="15">
        <f>TEXT(MOD(TIMEVALUE(AI5)+26/1440,1),"HH:MM")</f>
        <v/>
      </c>
      <c r="AJ17" s="15">
        <f>TEXT(MOD(TIMEVALUE(AJ5)+26/1440,1),"HH:MM")</f>
        <v/>
      </c>
      <c r="AK17" s="15">
        <f>TEXT(MOD(TIMEVALUE(AK5)+26/1440,1),"HH:MM")</f>
        <v/>
      </c>
      <c r="AL17" s="15">
        <f>TEXT(MOD(TIMEVALUE(AL5)+26/1440,1),"HH:MM")</f>
        <v/>
      </c>
      <c r="AM17" s="15">
        <f>TEXT(MOD(TIMEVALUE(AM5)+26/1440,1),"HH:MM")</f>
        <v/>
      </c>
    </row>
    <row r="18" ht="16.5" customHeight="1" s="26">
      <c r="A18" s="22" t="inlineStr">
        <is>
          <t>Jorge Newbery</t>
        </is>
      </c>
      <c r="B18" s="13">
        <f>TEXT(MOD(TIMEVALUE(B5)+28/1440,1),"HH:MM")</f>
        <v/>
      </c>
      <c r="C18" s="13">
        <f>TEXT(MOD(TIMEVALUE(C5)+28/1440,1),"HH:MM")</f>
        <v/>
      </c>
      <c r="D18" s="13">
        <f>TEXT(MOD(TIMEVALUE(D5)+28/1440,1),"HH:MM")</f>
        <v/>
      </c>
      <c r="E18" s="13">
        <f>TEXT(MOD(TIMEVALUE(E5)+28/1440,1),"HH:MM")</f>
        <v/>
      </c>
      <c r="F18" s="13">
        <f>TEXT(MOD(TIMEVALUE(F5)+28/1440,1),"HH:MM")</f>
        <v/>
      </c>
      <c r="G18" s="13">
        <f>TEXT(MOD(TIMEVALUE(G5)+28/1440,1),"HH:MM")</f>
        <v/>
      </c>
      <c r="H18" s="13">
        <f>TEXT(MOD(TIMEVALUE(H5)+28/1440,1),"HH:MM")</f>
        <v/>
      </c>
      <c r="I18" s="13">
        <f>TEXT(MOD(TIMEVALUE(I5)+28/1440,1),"HH:MM")</f>
        <v/>
      </c>
      <c r="J18" s="13">
        <f>TEXT(MOD(TIMEVALUE(J5)+28/1440,1),"HH:MM")</f>
        <v/>
      </c>
      <c r="K18" s="13">
        <f>TEXT(MOD(TIMEVALUE(K5)+28/1440,1),"HH:MM")</f>
        <v/>
      </c>
      <c r="L18" s="13">
        <f>TEXT(MOD(TIMEVALUE(L5)+28/1440,1),"HH:MM")</f>
        <v/>
      </c>
      <c r="M18" s="13">
        <f>TEXT(MOD(TIMEVALUE(M5)+28/1440,1),"HH:MM")</f>
        <v/>
      </c>
      <c r="N18" s="13">
        <f>TEXT(MOD(TIMEVALUE(N5)+28/1440,1),"HH:MM")</f>
        <v/>
      </c>
      <c r="O18" s="13">
        <f>TEXT(MOD(TIMEVALUE(O5)+28/1440,1),"HH:MM")</f>
        <v/>
      </c>
      <c r="P18" s="13">
        <f>TEXT(MOD(TIMEVALUE(P5)+28/1440,1),"HH:MM")</f>
        <v/>
      </c>
      <c r="Q18" s="13">
        <f>TEXT(MOD(TIMEVALUE(Q5)+28/1440,1),"HH:MM")</f>
        <v/>
      </c>
      <c r="R18" s="13">
        <f>TEXT(MOD(TIMEVALUE(R5)+28/1440,1),"HH:MM")</f>
        <v/>
      </c>
      <c r="S18" s="13">
        <f>TEXT(MOD(TIMEVALUE(S5)+28/1440,1),"HH:MM")</f>
        <v/>
      </c>
      <c r="T18" s="13">
        <f>TEXT(MOD(TIMEVALUE(T5)+28/1440,1),"HH:MM")</f>
        <v/>
      </c>
      <c r="U18" s="13">
        <f>TEXT(MOD(TIMEVALUE(U5)+28/1440,1),"HH:MM")</f>
        <v/>
      </c>
      <c r="V18" s="13">
        <f>TEXT(MOD(TIMEVALUE(V5)+28/1440,1),"HH:MM")</f>
        <v/>
      </c>
      <c r="W18" s="13">
        <f>TEXT(MOD(TIMEVALUE(W5)+28/1440,1),"HH:MM")</f>
        <v/>
      </c>
      <c r="X18" s="13">
        <f>TEXT(MOD(TIMEVALUE(X5)+28/1440,1),"HH:MM")</f>
        <v/>
      </c>
      <c r="Y18" s="13">
        <f>TEXT(MOD(TIMEVALUE(Y5)+28/1440,1),"HH:MM")</f>
        <v/>
      </c>
      <c r="Z18" s="13">
        <f>TEXT(MOD(TIMEVALUE(Z5)+28/1440,1),"HH:MM")</f>
        <v/>
      </c>
      <c r="AA18" s="13">
        <f>TEXT(MOD(TIMEVALUE(AA5)+28/1440,1),"HH:MM")</f>
        <v/>
      </c>
      <c r="AB18" s="13">
        <f>TEXT(MOD(TIMEVALUE(AB5)+28/1440,1),"HH:MM")</f>
        <v/>
      </c>
      <c r="AC18" s="13">
        <f>TEXT(MOD(TIMEVALUE(AC5)+28/1440,1),"HH:MM")</f>
        <v/>
      </c>
      <c r="AD18" s="13">
        <f>TEXT(MOD(TIMEVALUE(AD5)+28/1440,1),"HH:MM")</f>
        <v/>
      </c>
      <c r="AE18" s="13">
        <f>TEXT(MOD(TIMEVALUE(AE5)+28/1440,1),"HH:MM")</f>
        <v/>
      </c>
      <c r="AF18" s="13">
        <f>TEXT(MOD(TIMEVALUE(AF5)+28/1440,1),"HH:MM")</f>
        <v/>
      </c>
      <c r="AG18" s="13">
        <f>TEXT(MOD(TIMEVALUE(AG5)+28/1440,1),"HH:MM")</f>
        <v/>
      </c>
      <c r="AH18" s="13">
        <f>TEXT(MOD(TIMEVALUE(AH5)+28/1440,1),"HH:MM")</f>
        <v/>
      </c>
      <c r="AI18" s="13">
        <f>TEXT(MOD(TIMEVALUE(AI5)+28/1440,1),"HH:MM")</f>
        <v/>
      </c>
      <c r="AJ18" s="13">
        <f>TEXT(MOD(TIMEVALUE(AJ5)+28/1440,1),"HH:MM")</f>
        <v/>
      </c>
      <c r="AK18" s="13">
        <f>TEXT(MOD(TIMEVALUE(AK5)+28/1440,1),"HH:MM")</f>
        <v/>
      </c>
      <c r="AL18" s="13">
        <f>TEXT(MOD(TIMEVALUE(AL5)+28/1440,1),"HH:MM")</f>
        <v/>
      </c>
      <c r="AM18" s="13">
        <f>TEXT(MOD(TIMEVALUE(AM5)+28/1440,1),"HH:MM")</f>
        <v/>
      </c>
    </row>
    <row r="19" ht="16.5" customHeight="1" s="26">
      <c r="A19" s="23" t="inlineStr">
        <is>
          <t>Rubén Darío</t>
        </is>
      </c>
      <c r="B19" s="15">
        <f>TEXT(MOD(TIMEVALUE(B5)+29/1440,1),"HH:MM")</f>
        <v/>
      </c>
      <c r="C19" s="15">
        <f>TEXT(MOD(TIMEVALUE(C5)+29/1440,1),"HH:MM")</f>
        <v/>
      </c>
      <c r="D19" s="15">
        <f>TEXT(MOD(TIMEVALUE(D5)+29/1440,1),"HH:MM")</f>
        <v/>
      </c>
      <c r="E19" s="15">
        <f>TEXT(MOD(TIMEVALUE(E5)+29/1440,1),"HH:MM")</f>
        <v/>
      </c>
      <c r="F19" s="15">
        <f>TEXT(MOD(TIMEVALUE(F5)+29/1440,1),"HH:MM")</f>
        <v/>
      </c>
      <c r="G19" s="15">
        <f>TEXT(MOD(TIMEVALUE(G5)+29/1440,1),"HH:MM")</f>
        <v/>
      </c>
      <c r="H19" s="15">
        <f>TEXT(MOD(TIMEVALUE(H5)+29/1440,1),"HH:MM")</f>
        <v/>
      </c>
      <c r="I19" s="15">
        <f>TEXT(MOD(TIMEVALUE(I5)+29/1440,1),"HH:MM")</f>
        <v/>
      </c>
      <c r="J19" s="15">
        <f>TEXT(MOD(TIMEVALUE(J5)+29/1440,1),"HH:MM")</f>
        <v/>
      </c>
      <c r="K19" s="15">
        <f>TEXT(MOD(TIMEVALUE(K5)+29/1440,1),"HH:MM")</f>
        <v/>
      </c>
      <c r="L19" s="15">
        <f>TEXT(MOD(TIMEVALUE(L5)+29/1440,1),"HH:MM")</f>
        <v/>
      </c>
      <c r="M19" s="15">
        <f>TEXT(MOD(TIMEVALUE(M5)+29/1440,1),"HH:MM")</f>
        <v/>
      </c>
      <c r="N19" s="15">
        <f>TEXT(MOD(TIMEVALUE(N5)+29/1440,1),"HH:MM")</f>
        <v/>
      </c>
      <c r="O19" s="15">
        <f>TEXT(MOD(TIMEVALUE(O5)+29/1440,1),"HH:MM")</f>
        <v/>
      </c>
      <c r="P19" s="15">
        <f>TEXT(MOD(TIMEVALUE(P5)+29/1440,1),"HH:MM")</f>
        <v/>
      </c>
      <c r="Q19" s="15">
        <f>TEXT(MOD(TIMEVALUE(Q5)+29/1440,1),"HH:MM")</f>
        <v/>
      </c>
      <c r="R19" s="15">
        <f>TEXT(MOD(TIMEVALUE(R5)+29/1440,1),"HH:MM")</f>
        <v/>
      </c>
      <c r="S19" s="15">
        <f>TEXT(MOD(TIMEVALUE(S5)+29/1440,1),"HH:MM")</f>
        <v/>
      </c>
      <c r="T19" s="15">
        <f>TEXT(MOD(TIMEVALUE(T5)+29/1440,1),"HH:MM")</f>
        <v/>
      </c>
      <c r="U19" s="15">
        <f>TEXT(MOD(TIMEVALUE(U5)+29/1440,1),"HH:MM")</f>
        <v/>
      </c>
      <c r="V19" s="15">
        <f>TEXT(MOD(TIMEVALUE(V5)+29/1440,1),"HH:MM")</f>
        <v/>
      </c>
      <c r="W19" s="15">
        <f>TEXT(MOD(TIMEVALUE(W5)+29/1440,1),"HH:MM")</f>
        <v/>
      </c>
      <c r="X19" s="15">
        <f>TEXT(MOD(TIMEVALUE(X5)+29/1440,1),"HH:MM")</f>
        <v/>
      </c>
      <c r="Y19" s="15">
        <f>TEXT(MOD(TIMEVALUE(Y5)+29/1440,1),"HH:MM")</f>
        <v/>
      </c>
      <c r="Z19" s="15">
        <f>TEXT(MOD(TIMEVALUE(Z5)+29/1440,1),"HH:MM")</f>
        <v/>
      </c>
      <c r="AA19" s="15">
        <f>TEXT(MOD(TIMEVALUE(AA5)+29/1440,1),"HH:MM")</f>
        <v/>
      </c>
      <c r="AB19" s="15">
        <f>TEXT(MOD(TIMEVALUE(AB5)+29/1440,1),"HH:MM")</f>
        <v/>
      </c>
      <c r="AC19" s="15">
        <f>TEXT(MOD(TIMEVALUE(AC5)+29/1440,1),"HH:MM")</f>
        <v/>
      </c>
      <c r="AD19" s="15">
        <f>TEXT(MOD(TIMEVALUE(AD5)+29/1440,1),"HH:MM")</f>
        <v/>
      </c>
      <c r="AE19" s="15">
        <f>TEXT(MOD(TIMEVALUE(AE5)+29/1440,1),"HH:MM")</f>
        <v/>
      </c>
      <c r="AF19" s="15">
        <f>TEXT(MOD(TIMEVALUE(AF5)+29/1440,1),"HH:MM")</f>
        <v/>
      </c>
      <c r="AG19" s="15">
        <f>TEXT(MOD(TIMEVALUE(AG5)+29/1440,1),"HH:MM")</f>
        <v/>
      </c>
      <c r="AH19" s="15">
        <f>TEXT(MOD(TIMEVALUE(AH5)+29/1440,1),"HH:MM")</f>
        <v/>
      </c>
      <c r="AI19" s="15">
        <f>TEXT(MOD(TIMEVALUE(AI5)+29/1440,1),"HH:MM")</f>
        <v/>
      </c>
      <c r="AJ19" s="15">
        <f>TEXT(MOD(TIMEVALUE(AJ5)+29/1440,1),"HH:MM")</f>
        <v/>
      </c>
      <c r="AK19" s="15">
        <f>TEXT(MOD(TIMEVALUE(AK5)+29/1440,1),"HH:MM")</f>
        <v/>
      </c>
      <c r="AL19" s="15">
        <f>TEXT(MOD(TIMEVALUE(AL5)+29/1440,1),"HH:MM")</f>
        <v/>
      </c>
      <c r="AM19" s="15">
        <f>TEXT(MOD(TIMEVALUE(AM5)+29/1440,1),"HH:MM")</f>
        <v/>
      </c>
    </row>
    <row r="20" ht="16.5" customHeight="1" s="26">
      <c r="A20" s="22" t="inlineStr">
        <is>
          <t>Ejército de los Andes</t>
        </is>
      </c>
      <c r="B20" s="13">
        <f>TEXT(MOD(TIMEVALUE(B5)+33/1440,1),"HH:MM")</f>
        <v/>
      </c>
      <c r="C20" s="13">
        <f>TEXT(MOD(TIMEVALUE(C5)+33/1440,1),"HH:MM")</f>
        <v/>
      </c>
      <c r="D20" s="13">
        <f>TEXT(MOD(TIMEVALUE(D5)+33/1440,1),"HH:MM")</f>
        <v/>
      </c>
      <c r="E20" s="13">
        <f>TEXT(MOD(TIMEVALUE(E5)+33/1440,1),"HH:MM")</f>
        <v/>
      </c>
      <c r="F20" s="13">
        <f>TEXT(MOD(TIMEVALUE(F5)+33/1440,1),"HH:MM")</f>
        <v/>
      </c>
      <c r="G20" s="13">
        <f>TEXT(MOD(TIMEVALUE(G5)+33/1440,1),"HH:MM")</f>
        <v/>
      </c>
      <c r="H20" s="13">
        <f>TEXT(MOD(TIMEVALUE(H5)+33/1440,1),"HH:MM")</f>
        <v/>
      </c>
      <c r="I20" s="13">
        <f>TEXT(MOD(TIMEVALUE(I5)+33/1440,1),"HH:MM")</f>
        <v/>
      </c>
      <c r="J20" s="13">
        <f>TEXT(MOD(TIMEVALUE(J5)+33/1440,1),"HH:MM")</f>
        <v/>
      </c>
      <c r="K20" s="13">
        <f>TEXT(MOD(TIMEVALUE(K5)+33/1440,1),"HH:MM")</f>
        <v/>
      </c>
      <c r="L20" s="13">
        <f>TEXT(MOD(TIMEVALUE(L5)+33/1440,1),"HH:MM")</f>
        <v/>
      </c>
      <c r="M20" s="13">
        <f>TEXT(MOD(TIMEVALUE(M5)+33/1440,1),"HH:MM")</f>
        <v/>
      </c>
      <c r="N20" s="13">
        <f>TEXT(MOD(TIMEVALUE(N5)+33/1440,1),"HH:MM")</f>
        <v/>
      </c>
      <c r="O20" s="13">
        <f>TEXT(MOD(TIMEVALUE(O5)+33/1440,1),"HH:MM")</f>
        <v/>
      </c>
      <c r="P20" s="13">
        <f>TEXT(MOD(TIMEVALUE(P5)+33/1440,1),"HH:MM")</f>
        <v/>
      </c>
      <c r="Q20" s="13">
        <f>TEXT(MOD(TIMEVALUE(Q5)+33/1440,1),"HH:MM")</f>
        <v/>
      </c>
      <c r="R20" s="13">
        <f>TEXT(MOD(TIMEVALUE(R5)+33/1440,1),"HH:MM")</f>
        <v/>
      </c>
      <c r="S20" s="13">
        <f>TEXT(MOD(TIMEVALUE(S5)+33/1440,1),"HH:MM")</f>
        <v/>
      </c>
      <c r="T20" s="13">
        <f>TEXT(MOD(TIMEVALUE(T5)+33/1440,1),"HH:MM")</f>
        <v/>
      </c>
      <c r="U20" s="13">
        <f>TEXT(MOD(TIMEVALUE(U5)+33/1440,1),"HH:MM")</f>
        <v/>
      </c>
      <c r="V20" s="13">
        <f>TEXT(MOD(TIMEVALUE(V5)+33/1440,1),"HH:MM")</f>
        <v/>
      </c>
      <c r="W20" s="13">
        <f>TEXT(MOD(TIMEVALUE(W5)+33/1440,1),"HH:MM")</f>
        <v/>
      </c>
      <c r="X20" s="13">
        <f>TEXT(MOD(TIMEVALUE(X5)+33/1440,1),"HH:MM")</f>
        <v/>
      </c>
      <c r="Y20" s="13">
        <f>TEXT(MOD(TIMEVALUE(Y5)+33/1440,1),"HH:MM")</f>
        <v/>
      </c>
      <c r="Z20" s="13">
        <f>TEXT(MOD(TIMEVALUE(Z5)+33/1440,1),"HH:MM")</f>
        <v/>
      </c>
      <c r="AA20" s="13">
        <f>TEXT(MOD(TIMEVALUE(AA5)+33/1440,1),"HH:MM")</f>
        <v/>
      </c>
      <c r="AB20" s="13">
        <f>TEXT(MOD(TIMEVALUE(AB5)+33/1440,1),"HH:MM")</f>
        <v/>
      </c>
      <c r="AC20" s="13">
        <f>TEXT(MOD(TIMEVALUE(AC5)+33/1440,1),"HH:MM")</f>
        <v/>
      </c>
      <c r="AD20" s="13">
        <f>TEXT(MOD(TIMEVALUE(AD5)+33/1440,1),"HH:MM")</f>
        <v/>
      </c>
      <c r="AE20" s="13">
        <f>TEXT(MOD(TIMEVALUE(AE5)+33/1440,1),"HH:MM")</f>
        <v/>
      </c>
      <c r="AF20" s="13">
        <f>TEXT(MOD(TIMEVALUE(AF5)+33/1440,1),"HH:MM")</f>
        <v/>
      </c>
      <c r="AG20" s="13">
        <f>TEXT(MOD(TIMEVALUE(AG5)+33/1440,1),"HH:MM")</f>
        <v/>
      </c>
      <c r="AH20" s="13">
        <f>TEXT(MOD(TIMEVALUE(AH5)+33/1440,1),"HH:MM")</f>
        <v/>
      </c>
      <c r="AI20" s="13">
        <f>TEXT(MOD(TIMEVALUE(AI5)+33/1440,1),"HH:MM")</f>
        <v/>
      </c>
      <c r="AJ20" s="13">
        <f>TEXT(MOD(TIMEVALUE(AJ5)+33/1440,1),"HH:MM")</f>
        <v/>
      </c>
      <c r="AK20" s="13">
        <f>TEXT(MOD(TIMEVALUE(AK5)+33/1440,1),"HH:MM")</f>
        <v/>
      </c>
      <c r="AL20" s="13">
        <f>TEXT(MOD(TIMEVALUE(AL5)+33/1440,1),"HH:MM")</f>
        <v/>
      </c>
      <c r="AM20" s="13">
        <f>TEXT(MOD(TIMEVALUE(AM5)+33/1440,1),"HH:MM")</f>
        <v/>
      </c>
    </row>
    <row r="21" ht="16.5" customHeight="1" s="26">
      <c r="A21" s="23" t="inlineStr">
        <is>
          <t>Juan E. de la Salle</t>
        </is>
      </c>
      <c r="B21" s="15">
        <f>TEXT(MOD(TIMEVALUE(B5)+34/1440,1),"HH:MM")</f>
        <v/>
      </c>
      <c r="C21" s="15">
        <f>TEXT(MOD(TIMEVALUE(C5)+34/1440,1),"HH:MM")</f>
        <v/>
      </c>
      <c r="D21" s="15">
        <f>TEXT(MOD(TIMEVALUE(D5)+34/1440,1),"HH:MM")</f>
        <v/>
      </c>
      <c r="E21" s="15">
        <f>TEXT(MOD(TIMEVALUE(E5)+34/1440,1),"HH:MM")</f>
        <v/>
      </c>
      <c r="F21" s="15">
        <f>TEXT(MOD(TIMEVALUE(F5)+34/1440,1),"HH:MM")</f>
        <v/>
      </c>
      <c r="G21" s="15">
        <f>TEXT(MOD(TIMEVALUE(G5)+34/1440,1),"HH:MM")</f>
        <v/>
      </c>
      <c r="H21" s="15">
        <f>TEXT(MOD(TIMEVALUE(H5)+34/1440,1),"HH:MM")</f>
        <v/>
      </c>
      <c r="I21" s="15">
        <f>TEXT(MOD(TIMEVALUE(I5)+34/1440,1),"HH:MM")</f>
        <v/>
      </c>
      <c r="J21" s="15">
        <f>TEXT(MOD(TIMEVALUE(J5)+34/1440,1),"HH:MM")</f>
        <v/>
      </c>
      <c r="K21" s="15">
        <f>TEXT(MOD(TIMEVALUE(K5)+34/1440,1),"HH:MM")</f>
        <v/>
      </c>
      <c r="L21" s="15">
        <f>TEXT(MOD(TIMEVALUE(L5)+34/1440,1),"HH:MM")</f>
        <v/>
      </c>
      <c r="M21" s="15">
        <f>TEXT(MOD(TIMEVALUE(M5)+34/1440,1),"HH:MM")</f>
        <v/>
      </c>
      <c r="N21" s="15">
        <f>TEXT(MOD(TIMEVALUE(N5)+34/1440,1),"HH:MM")</f>
        <v/>
      </c>
      <c r="O21" s="15">
        <f>TEXT(MOD(TIMEVALUE(O5)+34/1440,1),"HH:MM")</f>
        <v/>
      </c>
      <c r="P21" s="15">
        <f>TEXT(MOD(TIMEVALUE(P5)+34/1440,1),"HH:MM")</f>
        <v/>
      </c>
      <c r="Q21" s="15">
        <f>TEXT(MOD(TIMEVALUE(Q5)+34/1440,1),"HH:MM")</f>
        <v/>
      </c>
      <c r="R21" s="15">
        <f>TEXT(MOD(TIMEVALUE(R5)+34/1440,1),"HH:MM")</f>
        <v/>
      </c>
      <c r="S21" s="15">
        <f>TEXT(MOD(TIMEVALUE(S5)+34/1440,1),"HH:MM")</f>
        <v/>
      </c>
      <c r="T21" s="15">
        <f>TEXT(MOD(TIMEVALUE(T5)+34/1440,1),"HH:MM")</f>
        <v/>
      </c>
      <c r="U21" s="15">
        <f>TEXT(MOD(TIMEVALUE(U5)+34/1440,1),"HH:MM")</f>
        <v/>
      </c>
      <c r="V21" s="15">
        <f>TEXT(MOD(TIMEVALUE(V5)+34/1440,1),"HH:MM")</f>
        <v/>
      </c>
      <c r="W21" s="15">
        <f>TEXT(MOD(TIMEVALUE(W5)+34/1440,1),"HH:MM")</f>
        <v/>
      </c>
      <c r="X21" s="15">
        <f>TEXT(MOD(TIMEVALUE(X5)+34/1440,1),"HH:MM")</f>
        <v/>
      </c>
      <c r="Y21" s="15">
        <f>TEXT(MOD(TIMEVALUE(Y5)+34/1440,1),"HH:MM")</f>
        <v/>
      </c>
      <c r="Z21" s="15">
        <f>TEXT(MOD(TIMEVALUE(Z5)+34/1440,1),"HH:MM")</f>
        <v/>
      </c>
      <c r="AA21" s="15">
        <f>TEXT(MOD(TIMEVALUE(AA5)+34/1440,1),"HH:MM")</f>
        <v/>
      </c>
      <c r="AB21" s="15">
        <f>TEXT(MOD(TIMEVALUE(AB5)+34/1440,1),"HH:MM")</f>
        <v/>
      </c>
      <c r="AC21" s="15">
        <f>TEXT(MOD(TIMEVALUE(AC5)+34/1440,1),"HH:MM")</f>
        <v/>
      </c>
      <c r="AD21" s="15">
        <f>TEXT(MOD(TIMEVALUE(AD5)+34/1440,1),"HH:MM")</f>
        <v/>
      </c>
      <c r="AE21" s="15">
        <f>TEXT(MOD(TIMEVALUE(AE5)+34/1440,1),"HH:MM")</f>
        <v/>
      </c>
      <c r="AF21" s="15">
        <f>TEXT(MOD(TIMEVALUE(AF5)+34/1440,1),"HH:MM")</f>
        <v/>
      </c>
      <c r="AG21" s="15">
        <f>TEXT(MOD(TIMEVALUE(AG5)+34/1440,1),"HH:MM")</f>
        <v/>
      </c>
      <c r="AH21" s="15">
        <f>TEXT(MOD(TIMEVALUE(AH5)+34/1440,1),"HH:MM")</f>
        <v/>
      </c>
      <c r="AI21" s="15">
        <f>TEXT(MOD(TIMEVALUE(AI5)+34/1440,1),"HH:MM")</f>
        <v/>
      </c>
      <c r="AJ21" s="15">
        <f>TEXT(MOD(TIMEVALUE(AJ5)+34/1440,1),"HH:MM")</f>
        <v/>
      </c>
      <c r="AK21" s="15">
        <f>TEXT(MOD(TIMEVALUE(AK5)+34/1440,1),"HH:MM")</f>
        <v/>
      </c>
      <c r="AL21" s="15">
        <f>TEXT(MOD(TIMEVALUE(AL5)+34/1440,1),"HH:MM")</f>
        <v/>
      </c>
      <c r="AM21" s="15">
        <f>TEXT(MOD(TIMEVALUE(AM5)+34/1440,1),"HH:MM")</f>
        <v/>
      </c>
    </row>
    <row r="22" ht="16.5" customHeight="1" s="26">
      <c r="A22" s="22" t="inlineStr">
        <is>
          <t>Sgto. Barruffaldi</t>
        </is>
      </c>
      <c r="B22" s="13">
        <f>TEXT(MOD(TIMEVALUE(B5)+37/1440,1),"HH:MM")</f>
        <v/>
      </c>
      <c r="C22" s="13">
        <f>TEXT(MOD(TIMEVALUE(C5)+37/1440,1),"HH:MM")</f>
        <v/>
      </c>
      <c r="D22" s="13">
        <f>TEXT(MOD(TIMEVALUE(D5)+37/1440,1),"HH:MM")</f>
        <v/>
      </c>
      <c r="E22" s="13">
        <f>TEXT(MOD(TIMEVALUE(E5)+37/1440,1),"HH:MM")</f>
        <v/>
      </c>
      <c r="F22" s="13">
        <f>TEXT(MOD(TIMEVALUE(F5)+37/1440,1),"HH:MM")</f>
        <v/>
      </c>
      <c r="G22" s="13">
        <f>TEXT(MOD(TIMEVALUE(G5)+37/1440,1),"HH:MM")</f>
        <v/>
      </c>
      <c r="H22" s="13">
        <f>TEXT(MOD(TIMEVALUE(H5)+37/1440,1),"HH:MM")</f>
        <v/>
      </c>
      <c r="I22" s="13">
        <f>TEXT(MOD(TIMEVALUE(I5)+37/1440,1),"HH:MM")</f>
        <v/>
      </c>
      <c r="J22" s="13">
        <f>TEXT(MOD(TIMEVALUE(J5)+37/1440,1),"HH:MM")</f>
        <v/>
      </c>
      <c r="K22" s="13">
        <f>TEXT(MOD(TIMEVALUE(K5)+37/1440,1),"HH:MM")</f>
        <v/>
      </c>
      <c r="L22" s="13">
        <f>TEXT(MOD(TIMEVALUE(L5)+37/1440,1),"HH:MM")</f>
        <v/>
      </c>
      <c r="M22" s="13">
        <f>TEXT(MOD(TIMEVALUE(M5)+37/1440,1),"HH:MM")</f>
        <v/>
      </c>
      <c r="N22" s="13">
        <f>TEXT(MOD(TIMEVALUE(N5)+37/1440,1),"HH:MM")</f>
        <v/>
      </c>
      <c r="O22" s="13">
        <f>TEXT(MOD(TIMEVALUE(O5)+37/1440,1),"HH:MM")</f>
        <v/>
      </c>
      <c r="P22" s="13">
        <f>TEXT(MOD(TIMEVALUE(P5)+37/1440,1),"HH:MM")</f>
        <v/>
      </c>
      <c r="Q22" s="13">
        <f>TEXT(MOD(TIMEVALUE(Q5)+37/1440,1),"HH:MM")</f>
        <v/>
      </c>
      <c r="R22" s="13">
        <f>TEXT(MOD(TIMEVALUE(R5)+37/1440,1),"HH:MM")</f>
        <v/>
      </c>
      <c r="S22" s="13">
        <f>TEXT(MOD(TIMEVALUE(S5)+37/1440,1),"HH:MM")</f>
        <v/>
      </c>
      <c r="T22" s="13">
        <f>TEXT(MOD(TIMEVALUE(T5)+37/1440,1),"HH:MM")</f>
        <v/>
      </c>
      <c r="U22" s="13">
        <f>TEXT(MOD(TIMEVALUE(U5)+37/1440,1),"HH:MM")</f>
        <v/>
      </c>
      <c r="V22" s="13">
        <f>TEXT(MOD(TIMEVALUE(V5)+37/1440,1),"HH:MM")</f>
        <v/>
      </c>
      <c r="W22" s="13">
        <f>TEXT(MOD(TIMEVALUE(W5)+37/1440,1),"HH:MM")</f>
        <v/>
      </c>
      <c r="X22" s="13">
        <f>TEXT(MOD(TIMEVALUE(X5)+37/1440,1),"HH:MM")</f>
        <v/>
      </c>
      <c r="Y22" s="13">
        <f>TEXT(MOD(TIMEVALUE(Y5)+37/1440,1),"HH:MM")</f>
        <v/>
      </c>
      <c r="Z22" s="13">
        <f>TEXT(MOD(TIMEVALUE(Z5)+37/1440,1),"HH:MM")</f>
        <v/>
      </c>
      <c r="AA22" s="13">
        <f>TEXT(MOD(TIMEVALUE(AA5)+37/1440,1),"HH:MM")</f>
        <v/>
      </c>
      <c r="AB22" s="13">
        <f>TEXT(MOD(TIMEVALUE(AB5)+37/1440,1),"HH:MM")</f>
        <v/>
      </c>
      <c r="AC22" s="13">
        <f>TEXT(MOD(TIMEVALUE(AC5)+37/1440,1),"HH:MM")</f>
        <v/>
      </c>
      <c r="AD22" s="13">
        <f>TEXT(MOD(TIMEVALUE(AD5)+37/1440,1),"HH:MM")</f>
        <v/>
      </c>
      <c r="AE22" s="13">
        <f>TEXT(MOD(TIMEVALUE(AE5)+37/1440,1),"HH:MM")</f>
        <v/>
      </c>
      <c r="AF22" s="13">
        <f>TEXT(MOD(TIMEVALUE(AF5)+37/1440,1),"HH:MM")</f>
        <v/>
      </c>
      <c r="AG22" s="13">
        <f>TEXT(MOD(TIMEVALUE(AG5)+37/1440,1),"HH:MM")</f>
        <v/>
      </c>
      <c r="AH22" s="13">
        <f>TEXT(MOD(TIMEVALUE(AH5)+37/1440,1),"HH:MM")</f>
        <v/>
      </c>
      <c r="AI22" s="13">
        <f>TEXT(MOD(TIMEVALUE(AI5)+37/1440,1),"HH:MM")</f>
        <v/>
      </c>
      <c r="AJ22" s="13">
        <f>TEXT(MOD(TIMEVALUE(AJ5)+37/1440,1),"HH:MM")</f>
        <v/>
      </c>
      <c r="AK22" s="13">
        <f>TEXT(MOD(TIMEVALUE(AK5)+37/1440,1),"HH:MM")</f>
        <v/>
      </c>
      <c r="AL22" s="13">
        <f>TEXT(MOD(TIMEVALUE(AL5)+37/1440,1),"HH:MM")</f>
        <v/>
      </c>
      <c r="AM22" s="13">
        <f>TEXT(MOD(TIMEVALUE(AM5)+37/1440,1),"HH:MM")</f>
        <v/>
      </c>
    </row>
    <row r="23" ht="16.5" customHeight="1" s="26">
      <c r="A23" s="23" t="inlineStr">
        <is>
          <t>Capitán Lozano</t>
        </is>
      </c>
      <c r="B23" s="15">
        <f>TEXT(MOD(TIMEVALUE(B5)+39/1440,1),"HH:MM")</f>
        <v/>
      </c>
      <c r="C23" s="15">
        <f>TEXT(MOD(TIMEVALUE(C5)+39/1440,1),"HH:MM")</f>
        <v/>
      </c>
      <c r="D23" s="15">
        <f>TEXT(MOD(TIMEVALUE(D5)+39/1440,1),"HH:MM")</f>
        <v/>
      </c>
      <c r="E23" s="15">
        <f>TEXT(MOD(TIMEVALUE(E5)+39/1440,1),"HH:MM")</f>
        <v/>
      </c>
      <c r="F23" s="15">
        <f>TEXT(MOD(TIMEVALUE(F5)+39/1440,1),"HH:MM")</f>
        <v/>
      </c>
      <c r="G23" s="15">
        <f>TEXT(MOD(TIMEVALUE(G5)+39/1440,1),"HH:MM")</f>
        <v/>
      </c>
      <c r="H23" s="15">
        <f>TEXT(MOD(TIMEVALUE(H5)+39/1440,1),"HH:MM")</f>
        <v/>
      </c>
      <c r="I23" s="15">
        <f>TEXT(MOD(TIMEVALUE(I5)+39/1440,1),"HH:MM")</f>
        <v/>
      </c>
      <c r="J23" s="15">
        <f>TEXT(MOD(TIMEVALUE(J5)+39/1440,1),"HH:MM")</f>
        <v/>
      </c>
      <c r="K23" s="15">
        <f>TEXT(MOD(TIMEVALUE(K5)+39/1440,1),"HH:MM")</f>
        <v/>
      </c>
      <c r="L23" s="15">
        <f>TEXT(MOD(TIMEVALUE(L5)+39/1440,1),"HH:MM")</f>
        <v/>
      </c>
      <c r="M23" s="15">
        <f>TEXT(MOD(TIMEVALUE(M5)+39/1440,1),"HH:MM")</f>
        <v/>
      </c>
      <c r="N23" s="15">
        <f>TEXT(MOD(TIMEVALUE(N5)+39/1440,1),"HH:MM")</f>
        <v/>
      </c>
      <c r="O23" s="15">
        <f>TEXT(MOD(TIMEVALUE(O5)+39/1440,1),"HH:MM")</f>
        <v/>
      </c>
      <c r="P23" s="15">
        <f>TEXT(MOD(TIMEVALUE(P5)+39/1440,1),"HH:MM")</f>
        <v/>
      </c>
      <c r="Q23" s="15">
        <f>TEXT(MOD(TIMEVALUE(Q5)+39/1440,1),"HH:MM")</f>
        <v/>
      </c>
      <c r="R23" s="15">
        <f>TEXT(MOD(TIMEVALUE(R5)+39/1440,1),"HH:MM")</f>
        <v/>
      </c>
      <c r="S23" s="15">
        <f>TEXT(MOD(TIMEVALUE(S5)+39/1440,1),"HH:MM")</f>
        <v/>
      </c>
      <c r="T23" s="15">
        <f>TEXT(MOD(TIMEVALUE(T5)+39/1440,1),"HH:MM")</f>
        <v/>
      </c>
      <c r="U23" s="15">
        <f>TEXT(MOD(TIMEVALUE(U5)+39/1440,1),"HH:MM")</f>
        <v/>
      </c>
      <c r="V23" s="15">
        <f>TEXT(MOD(TIMEVALUE(V5)+39/1440,1),"HH:MM")</f>
        <v/>
      </c>
      <c r="W23" s="15">
        <f>TEXT(MOD(TIMEVALUE(W5)+39/1440,1),"HH:MM")</f>
        <v/>
      </c>
      <c r="X23" s="15">
        <f>TEXT(MOD(TIMEVALUE(X5)+39/1440,1),"HH:MM")</f>
        <v/>
      </c>
      <c r="Y23" s="15">
        <f>TEXT(MOD(TIMEVALUE(Y5)+39/1440,1),"HH:MM")</f>
        <v/>
      </c>
      <c r="Z23" s="15">
        <f>TEXT(MOD(TIMEVALUE(Z5)+39/1440,1),"HH:MM")</f>
        <v/>
      </c>
      <c r="AA23" s="15">
        <f>TEXT(MOD(TIMEVALUE(AA5)+39/1440,1),"HH:MM")</f>
        <v/>
      </c>
      <c r="AB23" s="15">
        <f>TEXT(MOD(TIMEVALUE(AB5)+39/1440,1),"HH:MM")</f>
        <v/>
      </c>
      <c r="AC23" s="15">
        <f>TEXT(MOD(TIMEVALUE(AC5)+39/1440,1),"HH:MM")</f>
        <v/>
      </c>
      <c r="AD23" s="15">
        <f>TEXT(MOD(TIMEVALUE(AD5)+39/1440,1),"HH:MM")</f>
        <v/>
      </c>
      <c r="AE23" s="15">
        <f>TEXT(MOD(TIMEVALUE(AE5)+39/1440,1),"HH:MM")</f>
        <v/>
      </c>
      <c r="AF23" s="15">
        <f>TEXT(MOD(TIMEVALUE(AF5)+39/1440,1),"HH:MM")</f>
        <v/>
      </c>
      <c r="AG23" s="15">
        <f>TEXT(MOD(TIMEVALUE(AG5)+39/1440,1),"HH:MM")</f>
        <v/>
      </c>
      <c r="AH23" s="15">
        <f>TEXT(MOD(TIMEVALUE(AH5)+39/1440,1),"HH:MM")</f>
        <v/>
      </c>
      <c r="AI23" s="15">
        <f>TEXT(MOD(TIMEVALUE(AI5)+39/1440,1),"HH:MM")</f>
        <v/>
      </c>
      <c r="AJ23" s="15">
        <f>TEXT(MOD(TIMEVALUE(AJ5)+39/1440,1),"HH:MM")</f>
        <v/>
      </c>
      <c r="AK23" s="15">
        <f>TEXT(MOD(TIMEVALUE(AK5)+39/1440,1),"HH:MM")</f>
        <v/>
      </c>
      <c r="AL23" s="15">
        <f>TEXT(MOD(TIMEVALUE(AL5)+39/1440,1),"HH:MM")</f>
        <v/>
      </c>
      <c r="AM23" s="15">
        <f>TEXT(MOD(TIMEVALUE(AM5)+39/1440,1),"HH:MM")</f>
        <v/>
      </c>
    </row>
    <row r="24" ht="16.5" customHeight="1" s="26">
      <c r="A24" s="22" t="inlineStr">
        <is>
          <t>Teniente Agneta</t>
        </is>
      </c>
      <c r="B24" s="13">
        <f>TEXT(MOD(TIMEVALUE(B5)+41/1440,1),"HH:MM")</f>
        <v/>
      </c>
      <c r="C24" s="13">
        <f>TEXT(MOD(TIMEVALUE(C5)+41/1440,1),"HH:MM")</f>
        <v/>
      </c>
      <c r="D24" s="13">
        <f>TEXT(MOD(TIMEVALUE(D5)+41/1440,1),"HH:MM")</f>
        <v/>
      </c>
      <c r="E24" s="13">
        <f>TEXT(MOD(TIMEVALUE(E5)+41/1440,1),"HH:MM")</f>
        <v/>
      </c>
      <c r="F24" s="13">
        <f>TEXT(MOD(TIMEVALUE(F5)+41/1440,1),"HH:MM")</f>
        <v/>
      </c>
      <c r="G24" s="13">
        <f>TEXT(MOD(TIMEVALUE(G5)+41/1440,1),"HH:MM")</f>
        <v/>
      </c>
      <c r="H24" s="13">
        <f>TEXT(MOD(TIMEVALUE(H5)+41/1440,1),"HH:MM")</f>
        <v/>
      </c>
      <c r="I24" s="13">
        <f>TEXT(MOD(TIMEVALUE(I5)+41/1440,1),"HH:MM")</f>
        <v/>
      </c>
      <c r="J24" s="13">
        <f>TEXT(MOD(TIMEVALUE(J5)+41/1440,1),"HH:MM")</f>
        <v/>
      </c>
      <c r="K24" s="13">
        <f>TEXT(MOD(TIMEVALUE(K5)+41/1440,1),"HH:MM")</f>
        <v/>
      </c>
      <c r="L24" s="13">
        <f>TEXT(MOD(TIMEVALUE(L5)+41/1440,1),"HH:MM")</f>
        <v/>
      </c>
      <c r="M24" s="13">
        <f>TEXT(MOD(TIMEVALUE(M5)+41/1440,1),"HH:MM")</f>
        <v/>
      </c>
      <c r="N24" s="13">
        <f>TEXT(MOD(TIMEVALUE(N5)+41/1440,1),"HH:MM")</f>
        <v/>
      </c>
      <c r="O24" s="13">
        <f>TEXT(MOD(TIMEVALUE(O5)+41/1440,1),"HH:MM")</f>
        <v/>
      </c>
      <c r="P24" s="13">
        <f>TEXT(MOD(TIMEVALUE(P5)+41/1440,1),"HH:MM")</f>
        <v/>
      </c>
      <c r="Q24" s="13">
        <f>TEXT(MOD(TIMEVALUE(Q5)+41/1440,1),"HH:MM")</f>
        <v/>
      </c>
      <c r="R24" s="13">
        <f>TEXT(MOD(TIMEVALUE(R5)+41/1440,1),"HH:MM")</f>
        <v/>
      </c>
      <c r="S24" s="13">
        <f>TEXT(MOD(TIMEVALUE(S5)+41/1440,1),"HH:MM")</f>
        <v/>
      </c>
      <c r="T24" s="13">
        <f>TEXT(MOD(TIMEVALUE(T5)+41/1440,1),"HH:MM")</f>
        <v/>
      </c>
      <c r="U24" s="13">
        <f>TEXT(MOD(TIMEVALUE(U5)+41/1440,1),"HH:MM")</f>
        <v/>
      </c>
      <c r="V24" s="13">
        <f>TEXT(MOD(TIMEVALUE(V5)+41/1440,1),"HH:MM")</f>
        <v/>
      </c>
      <c r="W24" s="13">
        <f>TEXT(MOD(TIMEVALUE(W5)+41/1440,1),"HH:MM")</f>
        <v/>
      </c>
      <c r="X24" s="13">
        <f>TEXT(MOD(TIMEVALUE(X5)+41/1440,1),"HH:MM")</f>
        <v/>
      </c>
      <c r="Y24" s="13">
        <f>TEXT(MOD(TIMEVALUE(Y5)+41/1440,1),"HH:MM")</f>
        <v/>
      </c>
      <c r="Z24" s="13">
        <f>TEXT(MOD(TIMEVALUE(Z5)+41/1440,1),"HH:MM")</f>
        <v/>
      </c>
      <c r="AA24" s="13">
        <f>TEXT(MOD(TIMEVALUE(AA5)+41/1440,1),"HH:MM")</f>
        <v/>
      </c>
      <c r="AB24" s="13">
        <f>TEXT(MOD(TIMEVALUE(AB5)+41/1440,1),"HH:MM")</f>
        <v/>
      </c>
      <c r="AC24" s="13">
        <f>TEXT(MOD(TIMEVALUE(AC5)+41/1440,1),"HH:MM")</f>
        <v/>
      </c>
      <c r="AD24" s="13">
        <f>TEXT(MOD(TIMEVALUE(AD5)+41/1440,1),"HH:MM")</f>
        <v/>
      </c>
      <c r="AE24" s="13">
        <f>TEXT(MOD(TIMEVALUE(AE5)+41/1440,1),"HH:MM")</f>
        <v/>
      </c>
      <c r="AF24" s="13">
        <f>TEXT(MOD(TIMEVALUE(AF5)+41/1440,1),"HH:MM")</f>
        <v/>
      </c>
      <c r="AG24" s="13">
        <f>TEXT(MOD(TIMEVALUE(AG5)+41/1440,1),"HH:MM")</f>
        <v/>
      </c>
      <c r="AH24" s="13">
        <f>TEXT(MOD(TIMEVALUE(AH5)+41/1440,1),"HH:MM")</f>
        <v/>
      </c>
      <c r="AI24" s="13">
        <f>TEXT(MOD(TIMEVALUE(AI5)+41/1440,1),"HH:MM")</f>
        <v/>
      </c>
      <c r="AJ24" s="13">
        <f>TEXT(MOD(TIMEVALUE(AJ5)+41/1440,1),"HH:MM")</f>
        <v/>
      </c>
      <c r="AK24" s="13">
        <f>TEXT(MOD(TIMEVALUE(AK5)+41/1440,1),"HH:MM")</f>
        <v/>
      </c>
      <c r="AL24" s="13">
        <f>TEXT(MOD(TIMEVALUE(AL5)+41/1440,1),"HH:MM")</f>
        <v/>
      </c>
      <c r="AM24" s="13">
        <f>TEXT(MOD(TIMEVALUE(AM5)+41/1440,1),"HH:MM")</f>
        <v/>
      </c>
    </row>
    <row r="25" ht="16.5" customHeight="1" s="26">
      <c r="A25" s="23" t="inlineStr">
        <is>
          <t>Campo de Mayo</t>
        </is>
      </c>
      <c r="B25" s="15">
        <f>TEXT(MOD(TIMEVALUE(B5)+43/1440,1),"HH:MM")</f>
        <v/>
      </c>
      <c r="C25" s="15">
        <f>TEXT(MOD(TIMEVALUE(C5)+43/1440,1),"HH:MM")</f>
        <v/>
      </c>
      <c r="D25" s="15">
        <f>TEXT(MOD(TIMEVALUE(D5)+43/1440,1),"HH:MM")</f>
        <v/>
      </c>
      <c r="E25" s="15">
        <f>TEXT(MOD(TIMEVALUE(E5)+43/1440,1),"HH:MM")</f>
        <v/>
      </c>
      <c r="F25" s="15">
        <f>TEXT(MOD(TIMEVALUE(F5)+43/1440,1),"HH:MM")</f>
        <v/>
      </c>
      <c r="G25" s="15">
        <f>TEXT(MOD(TIMEVALUE(G5)+43/1440,1),"HH:MM")</f>
        <v/>
      </c>
      <c r="H25" s="15">
        <f>TEXT(MOD(TIMEVALUE(H5)+43/1440,1),"HH:MM")</f>
        <v/>
      </c>
      <c r="I25" s="15">
        <f>TEXT(MOD(TIMEVALUE(I5)+43/1440,1),"HH:MM")</f>
        <v/>
      </c>
      <c r="J25" s="15">
        <f>TEXT(MOD(TIMEVALUE(J5)+43/1440,1),"HH:MM")</f>
        <v/>
      </c>
      <c r="K25" s="15">
        <f>TEXT(MOD(TIMEVALUE(K5)+43/1440,1),"HH:MM")</f>
        <v/>
      </c>
      <c r="L25" s="15">
        <f>TEXT(MOD(TIMEVALUE(L5)+43/1440,1),"HH:MM")</f>
        <v/>
      </c>
      <c r="M25" s="15">
        <f>TEXT(MOD(TIMEVALUE(M5)+43/1440,1),"HH:MM")</f>
        <v/>
      </c>
      <c r="N25" s="15">
        <f>TEXT(MOD(TIMEVALUE(N5)+43/1440,1),"HH:MM")</f>
        <v/>
      </c>
      <c r="O25" s="15">
        <f>TEXT(MOD(TIMEVALUE(O5)+43/1440,1),"HH:MM")</f>
        <v/>
      </c>
      <c r="P25" s="15">
        <f>TEXT(MOD(TIMEVALUE(P5)+43/1440,1),"HH:MM")</f>
        <v/>
      </c>
      <c r="Q25" s="15">
        <f>TEXT(MOD(TIMEVALUE(Q5)+43/1440,1),"HH:MM")</f>
        <v/>
      </c>
      <c r="R25" s="15">
        <f>TEXT(MOD(TIMEVALUE(R5)+43/1440,1),"HH:MM")</f>
        <v/>
      </c>
      <c r="S25" s="15">
        <f>TEXT(MOD(TIMEVALUE(S5)+43/1440,1),"HH:MM")</f>
        <v/>
      </c>
      <c r="T25" s="15">
        <f>TEXT(MOD(TIMEVALUE(T5)+43/1440,1),"HH:MM")</f>
        <v/>
      </c>
      <c r="U25" s="15">
        <f>TEXT(MOD(TIMEVALUE(U5)+43/1440,1),"HH:MM")</f>
        <v/>
      </c>
      <c r="V25" s="15">
        <f>TEXT(MOD(TIMEVALUE(V5)+43/1440,1),"HH:MM")</f>
        <v/>
      </c>
      <c r="W25" s="15">
        <f>TEXT(MOD(TIMEVALUE(W5)+43/1440,1),"HH:MM")</f>
        <v/>
      </c>
      <c r="X25" s="15">
        <f>TEXT(MOD(TIMEVALUE(X5)+43/1440,1),"HH:MM")</f>
        <v/>
      </c>
      <c r="Y25" s="15">
        <f>TEXT(MOD(TIMEVALUE(Y5)+43/1440,1),"HH:MM")</f>
        <v/>
      </c>
      <c r="Z25" s="15">
        <f>TEXT(MOD(TIMEVALUE(Z5)+43/1440,1),"HH:MM")</f>
        <v/>
      </c>
      <c r="AA25" s="15">
        <f>TEXT(MOD(TIMEVALUE(AA5)+43/1440,1),"HH:MM")</f>
        <v/>
      </c>
      <c r="AB25" s="15">
        <f>TEXT(MOD(TIMEVALUE(AB5)+43/1440,1),"HH:MM")</f>
        <v/>
      </c>
      <c r="AC25" s="15">
        <f>TEXT(MOD(TIMEVALUE(AC5)+43/1440,1),"HH:MM")</f>
        <v/>
      </c>
      <c r="AD25" s="15">
        <f>TEXT(MOD(TIMEVALUE(AD5)+43/1440,1),"HH:MM")</f>
        <v/>
      </c>
      <c r="AE25" s="15">
        <f>TEXT(MOD(TIMEVALUE(AE5)+43/1440,1),"HH:MM")</f>
        <v/>
      </c>
      <c r="AF25" s="15">
        <f>TEXT(MOD(TIMEVALUE(AF5)+43/1440,1),"HH:MM")</f>
        <v/>
      </c>
      <c r="AG25" s="15">
        <f>TEXT(MOD(TIMEVALUE(AG5)+43/1440,1),"HH:MM")</f>
        <v/>
      </c>
      <c r="AH25" s="15">
        <f>TEXT(MOD(TIMEVALUE(AH5)+43/1440,1),"HH:MM")</f>
        <v/>
      </c>
      <c r="AI25" s="15">
        <f>TEXT(MOD(TIMEVALUE(AI5)+43/1440,1),"HH:MM")</f>
        <v/>
      </c>
      <c r="AJ25" s="15">
        <f>TEXT(MOD(TIMEVALUE(AJ5)+43/1440,1),"HH:MM")</f>
        <v/>
      </c>
      <c r="AK25" s="15">
        <f>TEXT(MOD(TIMEVALUE(AK5)+43/1440,1),"HH:MM")</f>
        <v/>
      </c>
      <c r="AL25" s="15">
        <f>TEXT(MOD(TIMEVALUE(AL5)+43/1440,1),"HH:MM")</f>
        <v/>
      </c>
      <c r="AM25" s="15">
        <f>TEXT(MOD(TIMEVALUE(AM5)+43/1440,1),"HH:MM")</f>
        <v/>
      </c>
    </row>
    <row r="26" ht="16.5" customHeight="1" s="26">
      <c r="A26" s="22" t="inlineStr">
        <is>
          <t>Sargento Cabral</t>
        </is>
      </c>
      <c r="B26" s="13">
        <f>TEXT(MOD(TIMEVALUE(B5)+45/1440,1),"HH:MM")</f>
        <v/>
      </c>
      <c r="C26" s="13">
        <f>TEXT(MOD(TIMEVALUE(C5)+45/1440,1),"HH:MM")</f>
        <v/>
      </c>
      <c r="D26" s="13">
        <f>TEXT(MOD(TIMEVALUE(D5)+45/1440,1),"HH:MM")</f>
        <v/>
      </c>
      <c r="E26" s="13">
        <f>TEXT(MOD(TIMEVALUE(E5)+45/1440,1),"HH:MM")</f>
        <v/>
      </c>
      <c r="F26" s="13">
        <f>TEXT(MOD(TIMEVALUE(F5)+45/1440,1),"HH:MM")</f>
        <v/>
      </c>
      <c r="G26" s="13">
        <f>TEXT(MOD(TIMEVALUE(G5)+45/1440,1),"HH:MM")</f>
        <v/>
      </c>
      <c r="H26" s="13">
        <f>TEXT(MOD(TIMEVALUE(H5)+45/1440,1),"HH:MM")</f>
        <v/>
      </c>
      <c r="I26" s="13">
        <f>TEXT(MOD(TIMEVALUE(I5)+45/1440,1),"HH:MM")</f>
        <v/>
      </c>
      <c r="J26" s="13">
        <f>TEXT(MOD(TIMEVALUE(J5)+45/1440,1),"HH:MM")</f>
        <v/>
      </c>
      <c r="K26" s="13">
        <f>TEXT(MOD(TIMEVALUE(K5)+45/1440,1),"HH:MM")</f>
        <v/>
      </c>
      <c r="L26" s="13">
        <f>TEXT(MOD(TIMEVALUE(L5)+45/1440,1),"HH:MM")</f>
        <v/>
      </c>
      <c r="M26" s="13">
        <f>TEXT(MOD(TIMEVALUE(M5)+45/1440,1),"HH:MM")</f>
        <v/>
      </c>
      <c r="N26" s="13">
        <f>TEXT(MOD(TIMEVALUE(N5)+45/1440,1),"HH:MM")</f>
        <v/>
      </c>
      <c r="O26" s="13">
        <f>TEXT(MOD(TIMEVALUE(O5)+45/1440,1),"HH:MM")</f>
        <v/>
      </c>
      <c r="P26" s="13">
        <f>TEXT(MOD(TIMEVALUE(P5)+45/1440,1),"HH:MM")</f>
        <v/>
      </c>
      <c r="Q26" s="13">
        <f>TEXT(MOD(TIMEVALUE(Q5)+45/1440,1),"HH:MM")</f>
        <v/>
      </c>
      <c r="R26" s="13">
        <f>TEXT(MOD(TIMEVALUE(R5)+45/1440,1),"HH:MM")</f>
        <v/>
      </c>
      <c r="S26" s="13">
        <f>TEXT(MOD(TIMEVALUE(S5)+45/1440,1),"HH:MM")</f>
        <v/>
      </c>
      <c r="T26" s="13">
        <f>TEXT(MOD(TIMEVALUE(T5)+45/1440,1),"HH:MM")</f>
        <v/>
      </c>
      <c r="U26" s="13">
        <f>TEXT(MOD(TIMEVALUE(U5)+45/1440,1),"HH:MM")</f>
        <v/>
      </c>
      <c r="V26" s="13">
        <f>TEXT(MOD(TIMEVALUE(V5)+45/1440,1),"HH:MM")</f>
        <v/>
      </c>
      <c r="W26" s="13">
        <f>TEXT(MOD(TIMEVALUE(W5)+45/1440,1),"HH:MM")</f>
        <v/>
      </c>
      <c r="X26" s="13">
        <f>TEXT(MOD(TIMEVALUE(X5)+45/1440,1),"HH:MM")</f>
        <v/>
      </c>
      <c r="Y26" s="13">
        <f>TEXT(MOD(TIMEVALUE(Y5)+45/1440,1),"HH:MM")</f>
        <v/>
      </c>
      <c r="Z26" s="13">
        <f>TEXT(MOD(TIMEVALUE(Z5)+45/1440,1),"HH:MM")</f>
        <v/>
      </c>
      <c r="AA26" s="13">
        <f>TEXT(MOD(TIMEVALUE(AA5)+45/1440,1),"HH:MM")</f>
        <v/>
      </c>
      <c r="AB26" s="13">
        <f>TEXT(MOD(TIMEVALUE(AB5)+45/1440,1),"HH:MM")</f>
        <v/>
      </c>
      <c r="AC26" s="13">
        <f>TEXT(MOD(TIMEVALUE(AC5)+45/1440,1),"HH:MM")</f>
        <v/>
      </c>
      <c r="AD26" s="13">
        <f>TEXT(MOD(TIMEVALUE(AD5)+45/1440,1),"HH:MM")</f>
        <v/>
      </c>
      <c r="AE26" s="13">
        <f>TEXT(MOD(TIMEVALUE(AE5)+45/1440,1),"HH:MM")</f>
        <v/>
      </c>
      <c r="AF26" s="13">
        <f>TEXT(MOD(TIMEVALUE(AF5)+45/1440,1),"HH:MM")</f>
        <v/>
      </c>
      <c r="AG26" s="13">
        <f>TEXT(MOD(TIMEVALUE(AG5)+45/1440,1),"HH:MM")</f>
        <v/>
      </c>
      <c r="AH26" s="13">
        <f>TEXT(MOD(TIMEVALUE(AH5)+45/1440,1),"HH:MM")</f>
        <v/>
      </c>
      <c r="AI26" s="13">
        <f>TEXT(MOD(TIMEVALUE(AI5)+45/1440,1),"HH:MM")</f>
        <v/>
      </c>
      <c r="AJ26" s="13">
        <f>TEXT(MOD(TIMEVALUE(AJ5)+45/1440,1),"HH:MM")</f>
        <v/>
      </c>
      <c r="AK26" s="13">
        <f>TEXT(MOD(TIMEVALUE(AK5)+45/1440,1),"HH:MM")</f>
        <v/>
      </c>
      <c r="AL26" s="13">
        <f>TEXT(MOD(TIMEVALUE(AL5)+45/1440,1),"HH:MM")</f>
        <v/>
      </c>
      <c r="AM26" s="13">
        <f>TEXT(MOD(TIMEVALUE(AM5)+45/1440,1),"HH:MM")</f>
        <v/>
      </c>
    </row>
    <row r="27" ht="16.5" customHeight="1" s="26">
      <c r="A27" s="23" t="inlineStr">
        <is>
          <t>General Lemos</t>
        </is>
      </c>
      <c r="B27" s="15">
        <f>TEXT(MOD(TIMEVALUE(B5)+48/1440,1),"HH:MM")</f>
        <v/>
      </c>
      <c r="C27" s="15">
        <f>TEXT(MOD(TIMEVALUE(C5)+48/1440,1),"HH:MM")</f>
        <v/>
      </c>
      <c r="D27" s="15">
        <f>TEXT(MOD(TIMEVALUE(D5)+48/1440,1),"HH:MM")</f>
        <v/>
      </c>
      <c r="E27" s="15">
        <f>TEXT(MOD(TIMEVALUE(E5)+48/1440,1),"HH:MM")</f>
        <v/>
      </c>
      <c r="F27" s="15">
        <f>TEXT(MOD(TIMEVALUE(F5)+48/1440,1),"HH:MM")</f>
        <v/>
      </c>
      <c r="G27" s="15">
        <f>TEXT(MOD(TIMEVALUE(G5)+48/1440,1),"HH:MM")</f>
        <v/>
      </c>
      <c r="H27" s="15">
        <f>TEXT(MOD(TIMEVALUE(H5)+48/1440,1),"HH:MM")</f>
        <v/>
      </c>
      <c r="I27" s="15">
        <f>TEXT(MOD(TIMEVALUE(I5)+48/1440,1),"HH:MM")</f>
        <v/>
      </c>
      <c r="J27" s="15">
        <f>TEXT(MOD(TIMEVALUE(J5)+48/1440,1),"HH:MM")</f>
        <v/>
      </c>
      <c r="K27" s="15">
        <f>TEXT(MOD(TIMEVALUE(K5)+48/1440,1),"HH:MM")</f>
        <v/>
      </c>
      <c r="L27" s="15">
        <f>TEXT(MOD(TIMEVALUE(L5)+48/1440,1),"HH:MM")</f>
        <v/>
      </c>
      <c r="M27" s="15">
        <f>TEXT(MOD(TIMEVALUE(M5)+48/1440,1),"HH:MM")</f>
        <v/>
      </c>
      <c r="N27" s="15">
        <f>TEXT(MOD(TIMEVALUE(N5)+48/1440,1),"HH:MM")</f>
        <v/>
      </c>
      <c r="O27" s="15">
        <f>TEXT(MOD(TIMEVALUE(O5)+48/1440,1),"HH:MM")</f>
        <v/>
      </c>
      <c r="P27" s="15">
        <f>TEXT(MOD(TIMEVALUE(P5)+48/1440,1),"HH:MM")</f>
        <v/>
      </c>
      <c r="Q27" s="15">
        <f>TEXT(MOD(TIMEVALUE(Q5)+48/1440,1),"HH:MM")</f>
        <v/>
      </c>
      <c r="R27" s="15">
        <f>TEXT(MOD(TIMEVALUE(R5)+48/1440,1),"HH:MM")</f>
        <v/>
      </c>
      <c r="S27" s="15">
        <f>TEXT(MOD(TIMEVALUE(S5)+48/1440,1),"HH:MM")</f>
        <v/>
      </c>
      <c r="T27" s="15">
        <f>TEXT(MOD(TIMEVALUE(T5)+48/1440,1),"HH:MM")</f>
        <v/>
      </c>
      <c r="U27" s="15">
        <f>TEXT(MOD(TIMEVALUE(U5)+48/1440,1),"HH:MM")</f>
        <v/>
      </c>
      <c r="V27" s="15">
        <f>TEXT(MOD(TIMEVALUE(V5)+48/1440,1),"HH:MM")</f>
        <v/>
      </c>
      <c r="W27" s="15">
        <f>TEXT(MOD(TIMEVALUE(W5)+48/1440,1),"HH:MM")</f>
        <v/>
      </c>
      <c r="X27" s="15">
        <f>TEXT(MOD(TIMEVALUE(X5)+48/1440,1),"HH:MM")</f>
        <v/>
      </c>
      <c r="Y27" s="15">
        <f>TEXT(MOD(TIMEVALUE(Y5)+48/1440,1),"HH:MM")</f>
        <v/>
      </c>
      <c r="Z27" s="15">
        <f>TEXT(MOD(TIMEVALUE(Z5)+48/1440,1),"HH:MM")</f>
        <v/>
      </c>
      <c r="AA27" s="15">
        <f>TEXT(MOD(TIMEVALUE(AA5)+48/1440,1),"HH:MM")</f>
        <v/>
      </c>
      <c r="AB27" s="15">
        <f>TEXT(MOD(TIMEVALUE(AB5)+48/1440,1),"HH:MM")</f>
        <v/>
      </c>
      <c r="AC27" s="15">
        <f>TEXT(MOD(TIMEVALUE(AC5)+48/1440,1),"HH:MM")</f>
        <v/>
      </c>
      <c r="AD27" s="15">
        <f>TEXT(MOD(TIMEVALUE(AD5)+48/1440,1),"HH:MM")</f>
        <v/>
      </c>
      <c r="AE27" s="15">
        <f>TEXT(MOD(TIMEVALUE(AE5)+48/1440,1),"HH:MM")</f>
        <v/>
      </c>
      <c r="AF27" s="15">
        <f>TEXT(MOD(TIMEVALUE(AF5)+48/1440,1),"HH:MM")</f>
        <v/>
      </c>
      <c r="AG27" s="15">
        <f>TEXT(MOD(TIMEVALUE(AG5)+48/1440,1),"HH:MM")</f>
        <v/>
      </c>
      <c r="AH27" s="15">
        <f>TEXT(MOD(TIMEVALUE(AH5)+48/1440,1),"HH:MM")</f>
        <v/>
      </c>
      <c r="AI27" s="15">
        <f>TEXT(MOD(TIMEVALUE(AI5)+48/1440,1),"HH:MM")</f>
        <v/>
      </c>
      <c r="AJ27" s="15">
        <f>TEXT(MOD(TIMEVALUE(AJ5)+48/1440,1),"HH:MM")</f>
        <v/>
      </c>
      <c r="AK27" s="15">
        <f>TEXT(MOD(TIMEVALUE(AK5)+48/1440,1),"HH:MM")</f>
        <v/>
      </c>
      <c r="AL27" s="15">
        <f>TEXT(MOD(TIMEVALUE(AL5)+48/1440,1),"HH:MM")</f>
        <v/>
      </c>
      <c r="AM27" s="15">
        <f>TEXT(MOD(TIMEVALUE(AM5)+48/1440,1),"HH:MM")</f>
        <v/>
      </c>
    </row>
    <row r="28" ht="15.75" customHeight="1" s="26"/>
    <row r="29" ht="15.75" customHeight="1" s="26">
      <c r="A29" s="16" t="inlineStr">
        <is>
          <t>Fuente: Horario Mural Invierno 2026, Metrovías — metrovias.com.ar  |  Modificar la hora de salida en la fila de la estación de origen para recalcular todo el recorrido.</t>
        </is>
      </c>
    </row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mergeCells count="3">
    <mergeCell ref="A2:AM2"/>
    <mergeCell ref="A29:AM29"/>
    <mergeCell ref="A1:AM1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2026-03-16T20:36:51Z</dcterms:created>
  <dcterms:modified xmlns:dcterms="http://purl.org/dc/terms/" xmlns:xsi="http://www.w3.org/2001/XMLSchema-instance" xsi:type="dcterms:W3CDTF">2026-03-18T14:24:00Z</dcterms:modified>
</cp:coreProperties>
</file>